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iligentindia-my.sharepoint.com/personal/nisha_lohar_diligentglobal_com/Documents/Documents/KPMG FS/"/>
    </mc:Choice>
  </mc:AlternateContent>
  <xr:revisionPtr revIDLastSave="16" documentId="8_{48FC1F02-F484-4B8D-BDDF-E27AE4291D79}" xr6:coauthVersionLast="47" xr6:coauthVersionMax="47" xr10:uidLastSave="{043E4B3F-BE9F-4DBF-AA51-39CB1B3D1FCA}"/>
  <bookViews>
    <workbookView xWindow="-110" yWindow="-110" windowWidth="19420" windowHeight="11500" activeTab="2" xr2:uid="{0394B7DB-3CAB-4063-AEF5-0F6ACB86858D}"/>
  </bookViews>
  <sheets>
    <sheet name="BRD" sheetId="1" r:id="rId1"/>
    <sheet name="FS" sheetId="2" r:id="rId2"/>
    <sheet name="Detailed F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3" i="3" l="1"/>
  <c r="L17" i="3"/>
  <c r="L18" i="3" s="1"/>
  <c r="K4" i="3"/>
  <c r="K5" i="3" s="1"/>
</calcChain>
</file>

<file path=xl/sharedStrings.xml><?xml version="1.0" encoding="utf-8"?>
<sst xmlns="http://schemas.openxmlformats.org/spreadsheetml/2006/main" count="266" uniqueCount="167">
  <si>
    <t>Material</t>
  </si>
  <si>
    <t>Material Description</t>
  </si>
  <si>
    <t>Material Group</t>
  </si>
  <si>
    <t>Material Category</t>
  </si>
  <si>
    <t>Plant</t>
  </si>
  <si>
    <t>Stock</t>
  </si>
  <si>
    <t>Total Sales Order</t>
  </si>
  <si>
    <t>Net Total STO</t>
  </si>
  <si>
    <t>Deficit/Surplus</t>
  </si>
  <si>
    <t>BOM Component</t>
  </si>
  <si>
    <t>QTY as per BOM</t>
  </si>
  <si>
    <t>Deficit</t>
  </si>
  <si>
    <t>Min Stock Level</t>
  </si>
  <si>
    <t>Max Stock Level</t>
  </si>
  <si>
    <t>Net weight</t>
  </si>
  <si>
    <t>RM/PM Stock</t>
  </si>
  <si>
    <t>RM/PM Deficit</t>
  </si>
  <si>
    <t>FG Stock</t>
  </si>
  <si>
    <t>Deficit/Surplus FG</t>
  </si>
  <si>
    <t>Requirement</t>
  </si>
  <si>
    <t>Assumption</t>
  </si>
  <si>
    <t>Few of the Sloc stock should not be considered.</t>
  </si>
  <si>
    <t>Selection Screen</t>
  </si>
  <si>
    <t>Order Start date</t>
  </si>
  <si>
    <t>Material Number</t>
  </si>
  <si>
    <t>Mandatory</t>
  </si>
  <si>
    <t>Optional</t>
  </si>
  <si>
    <t>From</t>
  </si>
  <si>
    <t>To</t>
  </si>
  <si>
    <t>ALV generation format</t>
  </si>
  <si>
    <t>Material description</t>
  </si>
  <si>
    <t>M000101010</t>
  </si>
  <si>
    <t>XYZ</t>
  </si>
  <si>
    <t>Available stock-sales order requirement</t>
  </si>
  <si>
    <t>Order date from</t>
  </si>
  <si>
    <t>TO</t>
  </si>
  <si>
    <t>Selection screen plant</t>
  </si>
  <si>
    <t>Pass selection screen plant to I_SalesDocumentItem-PLANT For SALESDOCUMENTITEMCATEGORY=TAN and SDDOCUMENTCATEGORY=C and take PRODUCT.</t>
  </si>
  <si>
    <t>pass I_SalesDocumentItem-Product to I_PRODUCTTEXT-PRODUCT and Take PRODUCTNAME for LANGUAGE=E</t>
  </si>
  <si>
    <t>pass I_SalesDocumentItem-Product to I_PRODUCT-PRODUCT  and Take PRODUCTGROUP</t>
  </si>
  <si>
    <t>Pass I_SalesDocumentItem-Product to I_PRODUCTSALESDELIVERY-Product for FOURTHSALESSPECPRODUCTGROUP is not blank and take I_PRODUCTSALESDELIVERY-FOURTHSALESSPECPRODUCTGROUP. Pass FOURTHSALESSPECPRODUCTGROUP to TVM4T-MVGR4 For SPRAS=E and take BEZEI</t>
  </si>
  <si>
    <t>Unrestricted Stock</t>
  </si>
  <si>
    <t>Condition 1</t>
  </si>
  <si>
    <t>Pass Product and Plant  to V_MBEW_MD-MATNR and BWKEY for BWTTY is not equal to blank then pass Product and Plant to NSDM_V_MCHB-MATNR and WERKS and take an all records of MATNR and WERKS LGORT and CHARG wise where CLABS is not initial.</t>
  </si>
  <si>
    <t xml:space="preserve">Now pass WERKS and LGORT to ZPP_PLAN_SLOC-WERKS and LGORT. </t>
  </si>
  <si>
    <t>if the condition is satisfied then delete/ do not consider those records of NSDM_V_MCHB.</t>
  </si>
  <si>
    <t>Once this is done, do the sum of the NSDM_V_MCHB-CLABS MATNR and WERKS Wise.</t>
  </si>
  <si>
    <t>Condition 2</t>
  </si>
  <si>
    <t>Pass Product and Plant  to V_MBEW_MD-MATNR and BWKEY for BWTTY is equal to blank then pass Product and Plant to I_PRODUCTPLANT-Product and Plant for ISBATCHMANAGEMENTREQUIRED is not equal to blank then we will follow the same above logic</t>
  </si>
  <si>
    <t>Condition 3</t>
  </si>
  <si>
    <t>Pass Product and Plant  to V_MBEW_MD-MATNR and BWKEY for BWTTY is equal to blank then pass Product and Plant to I_PRODUCTPLANT-Product and Plant for ISBATCHMANAGEMENTREQUIRED is equal to blank then pass PRODUCT AND PLANT to NSDM_V_MARD-MATNR and WERKS for LABST is not initial and take all the record of MATNR and WERKS LGORT wise.</t>
  </si>
  <si>
    <t>Once this is done, do the sum of the NSDM_V_MARD-CLABS MATNR and WERKS Wise.</t>
  </si>
  <si>
    <t>Quality Stock</t>
  </si>
  <si>
    <t>Pass Product and Plant  to V_MBEW_MD-MATNR and BWKEY for BWTTY is not equal to blank then pass Product and Plant to NSDM_V_MCHB-MATNR and WERKS and take an all records of MATNR and WERKS LGORT and CHARG wise where CINSM is not initial.</t>
  </si>
  <si>
    <t>Pass Product and Plant  to V_MBEW_MD-MATNR and BWKEY for BWTTY is equal to blank then pass Product and Plant to I_PRODUCTPLANT-Product and Plant for ISBATCHMANAGEMENTREQUIRED is equal to blank then pass PRODUCT AND PLANT to NSDM_V_MARD-MATNR and WERKS for INSME is not initial and take all the record of MATNR and WERKS LGORT wise.</t>
  </si>
  <si>
    <t>M</t>
  </si>
  <si>
    <t>SALES ORDER</t>
  </si>
  <si>
    <t>EA</t>
  </si>
  <si>
    <t>M*</t>
  </si>
  <si>
    <t>Total Stock</t>
  </si>
  <si>
    <t>Sum of Unrestriced + Quality stock Material and Plant wise</t>
  </si>
  <si>
    <t xml:space="preserve">Take all SALESDOCUMENT and SALESDOCUMENTITEM and its ORDERQUANTITY from I_SalesDocumentItem- Product and plant wise where SALESDOCUMENTRJCNREASON is equal to blank. 
Pass salesdocument to  I_SALESDOCUMENT for  OVERALLSDPROCESSSTATUS=B and OVERALLDELIVERYBLOCKSTATUS is not equal to  C.
Only consider this SALESDOCUMENT.
Now pass this SALESDOCUMENT and SALESDOCUMENTITEM  To I_DELIVERYDOCUMENTITEM- REFERENCESDDOCUMENT and REFERENCESDDOCUMENTITEM  for I_DELIVERYDOCUMENTITEM=A and B and GOODSMOVEMENTSTATUS is not equal to C then take ACTUALDELIVERYQUANTITY SALESDOCUMENT and SALESDOCUMENTITEM wise.x
Now do the substraction of I_SALESDOCUMENTITEM-ORDERQUANTITY - I_DELIVERYDOCUMENTITEM-ACTUALDELIVERYQUANTITY SALESDOCUMENT and SALEDOCUMENTITEM wise.
Once it is done, do the sum of the QTY, Product and Plant wise that is my total sales order qty
</t>
  </si>
  <si>
    <t>Order Qty</t>
  </si>
  <si>
    <t>EKPO-MENGE</t>
  </si>
  <si>
    <t>BOM</t>
  </si>
  <si>
    <t xml:space="preserve">Pass selection screen Plant to I_PURCHASEORDER-SUPPLYINGPLANT for PURCHASEORDERTYPE=ZUB, UB, ZSTR,ZOST,ZBST, ZUB1 TO ZUB8 and take all the record PURCHASEORDER where PURCHASINGDOCUMENTDELETIONCODE is equal to blank.
Pass PURCHASEORDER to I_PURCHASEORDERITEM-PURCHASEORDER for PURCHASEORDERCATEGORY=F , MATERIALTYPE=FERT , PURCHASINGDOCUMENTDELETIONCODE=Blank, ISCOMPLETELYDELIVERED is equal to blank and take the I_PURCHASEORDERITEM- PURCHASEORDER and PURCHASEORDERITEM, MANUFACTURERMATERIAL, ORDERQUANTITY.
Now pass I_PURCHASEORDERITEM-PURCHASEORDER and PURCHASEORDERITEM to I_DELIVERYDOCUMENTITEM-PURCHASEORDER and PURCHASEORDERITEM for GOODSMOVEMENTSTATUS=C and OVERALL STATUS= A and B and do the sum of ACTUALDELIVERYQUANTITY material wise.
Now the PurchaseOrder and line item wise data where the entry is not exist in the I_DELIVERYDOCUMENTITEM. Do the sum of the ORDERQUANTITY Material wise from I_PURCHASEORDERITEM - ACTUALDELIVERYQTY from I_DELIVERYDOCUMENTITEM.
</t>
  </si>
  <si>
    <t>PGI QTY</t>
  </si>
  <si>
    <t>LIPS-LFIMG</t>
  </si>
  <si>
    <t>STATUS=A</t>
  </si>
  <si>
    <t>formula Total stock- (Total SO qty + Net STO)</t>
  </si>
  <si>
    <t>DELIVERED QTY</t>
  </si>
  <si>
    <t>STATUS=C</t>
  </si>
  <si>
    <t>for BOM Component, use Program RCS11001 and pass the details following way</t>
  </si>
  <si>
    <t>Order Qty-Pgi QTY- DELIVERED QTY</t>
  </si>
  <si>
    <t>From Product</t>
  </si>
  <si>
    <t>From selection screen</t>
  </si>
  <si>
    <t>Altenative</t>
  </si>
  <si>
    <t xml:space="preserve">Pass Product and Plant to I_BILLOFMATERIALITEMTP-PRODUCT and PLANT and take all record for BILLOFMATERIAL and BILLOFMATERIALVARIANT. Remove the duplicate value of BILLOFMATERIAL and BILLOFMATERIALVARIANT
Pass BILLOFMATERIAL and BILLOFMATERIALVARIANT to I_BILLOFMATERIAL-BILLOFMATERIAL and BILLOFMATERIALVARIANT for BOMISARCHIVEDFORDELETION=Blank and BILLOFMATERIALSTATUS=1. </t>
  </si>
  <si>
    <t>BOM USAGE</t>
  </si>
  <si>
    <t>1</t>
  </si>
  <si>
    <t>APPLICATION</t>
  </si>
  <si>
    <t>PP01</t>
  </si>
  <si>
    <t xml:space="preserve">VALID ON </t>
  </si>
  <si>
    <t>System Date</t>
  </si>
  <si>
    <t>Required Qty</t>
  </si>
  <si>
    <t>Deficit Qty value</t>
  </si>
  <si>
    <t>Explosion Level</t>
  </si>
  <si>
    <t>MNGKO from Program</t>
  </si>
  <si>
    <t>Unrestricted stock + Quality Stock</t>
  </si>
  <si>
    <t>B</t>
  </si>
  <si>
    <t>Requirement Qty-Total Stock</t>
  </si>
  <si>
    <t>Pass I_PRODUCTPLANT- PRODUCT and Plant to I_PRODUCTSUPPLYPLANNING-PRODUCT and Plant  and show REORDERTHRESHOLDQUANTITY</t>
  </si>
  <si>
    <t>Pass I_PRODUCTPLANT- PRODUCT and Plant to I_PRODUCTSUPPLYPLANNING-PRODUCT and Plant  and show MAXIMUMSTOCKQUANTITY</t>
  </si>
  <si>
    <t>Net Weight</t>
  </si>
  <si>
    <t>For I_PRODUCT-PRODUCT, Show NETWEIGHT</t>
  </si>
  <si>
    <t>Functional Specification</t>
  </si>
  <si>
    <t>Development General</t>
  </si>
  <si>
    <t>Object Name</t>
  </si>
  <si>
    <t>Date</t>
  </si>
  <si>
    <t>Description</t>
  </si>
  <si>
    <t>Version</t>
  </si>
  <si>
    <t>Object Type</t>
  </si>
  <si>
    <t>Module</t>
  </si>
  <si>
    <t>PP</t>
  </si>
  <si>
    <t>Ownership</t>
  </si>
  <si>
    <t>User</t>
  </si>
  <si>
    <t>Functional Consultant</t>
  </si>
  <si>
    <t>Dipesh Panwala</t>
  </si>
  <si>
    <t>Reviewed By</t>
  </si>
  <si>
    <t>Technical Consultant</t>
  </si>
  <si>
    <t>Process</t>
  </si>
  <si>
    <t>Business Logic</t>
  </si>
  <si>
    <t>Applicability: Both Company</t>
  </si>
  <si>
    <t>Business Requirement</t>
  </si>
  <si>
    <r>
      <rPr>
        <b/>
        <sz val="10"/>
        <rFont val="Calibri"/>
        <family val="2"/>
      </rPr>
      <t>Processing:</t>
    </r>
    <r>
      <rPr>
        <sz val="10"/>
        <rFont val="Calibri"/>
        <family val="2"/>
      </rPr>
      <t xml:space="preserve"> </t>
    </r>
  </si>
  <si>
    <r>
      <rPr>
        <b/>
        <sz val="10"/>
        <rFont val="Calibri"/>
        <family val="2"/>
      </rPr>
      <t>Processing Mode:</t>
    </r>
    <r>
      <rPr>
        <sz val="10"/>
        <rFont val="Calibri"/>
        <family val="2"/>
      </rPr>
      <t xml:space="preserve"> </t>
    </r>
  </si>
  <si>
    <t>Dependency:</t>
  </si>
  <si>
    <t>Constraint:</t>
  </si>
  <si>
    <t>Configuration Step:
Logic.
1. pass screen plant to TVARVC for Name= ZQM_CONTROL_PLANT  and compare it with TVARVC-LOW value.     
2. pass screen MATNR to MARA-MATNR and take MARA-MTART. compare MARA-MTART with TVARVC for Name= ZQM_CONTROL_MTART  and compare it with TVARVC-LOW value.     
If above condition match, then control sample value must be required.
on screen QE01, two condition is there. 
1. if user enter Yes in control sample indicator, Sample qty and location must be required to maintain. upon save button ZPP_QE01_CUST Will be modified.
2. if user enter NO in control sample indicator, Sample qty and location will not be required to maintain. upon save button ZPP_QE01_CUST Will not be modified.</t>
  </si>
  <si>
    <t>Logic</t>
  </si>
  <si>
    <t>Technical specification</t>
  </si>
  <si>
    <t>Trigger method</t>
  </si>
  <si>
    <t>Foreground and Background</t>
  </si>
  <si>
    <t>Output method</t>
  </si>
  <si>
    <t>Selection parameters</t>
  </si>
  <si>
    <t>Seq</t>
  </si>
  <si>
    <t>SAP Table Name</t>
  </si>
  <si>
    <t>SAP Field Name</t>
  </si>
  <si>
    <t>Field Description</t>
  </si>
  <si>
    <t>Single value / value range</t>
  </si>
  <si>
    <t>Remark</t>
  </si>
  <si>
    <t>Output/Form Layout (If Applicable)</t>
  </si>
  <si>
    <t>Input File (If Applicable)</t>
  </si>
  <si>
    <t>Standard</t>
  </si>
  <si>
    <t>Operation</t>
  </si>
  <si>
    <t>Overhead</t>
  </si>
  <si>
    <t>Cost</t>
  </si>
  <si>
    <t>Machine</t>
  </si>
  <si>
    <t>Labor</t>
  </si>
  <si>
    <t>Report for BOM explosion based on the FG deficit .</t>
  </si>
  <si>
    <t>Report</t>
  </si>
  <si>
    <t>08.07.2026</t>
  </si>
  <si>
    <t>Mukesh Yadav</t>
  </si>
  <si>
    <t>Objective :- Report for BOM explosion based on the FG deficit .</t>
  </si>
  <si>
    <t xml:space="preserve">Usage:  </t>
  </si>
  <si>
    <t>Output type: ALV Display</t>
  </si>
  <si>
    <r>
      <rPr>
        <b/>
        <sz val="10"/>
        <rFont val="Calibri"/>
        <family val="2"/>
      </rPr>
      <t>Assumptions / notes:</t>
    </r>
    <r>
      <rPr>
        <sz val="10"/>
        <rFont val="Calibri"/>
        <family val="2"/>
      </rPr>
      <t xml:space="preserve">  </t>
    </r>
  </si>
  <si>
    <t>I_SALESDOCUMENT</t>
  </si>
  <si>
    <t>I_SALESDOCUMENTIEM</t>
  </si>
  <si>
    <t>I_DELIVERYDOCUMENT</t>
  </si>
  <si>
    <t>I_DELIVERYDOCUMENTITEM</t>
  </si>
  <si>
    <t>I_PRODUCT</t>
  </si>
  <si>
    <t>I_PRODUCTPLANT</t>
  </si>
  <si>
    <t>I_PURCHASEORDER</t>
  </si>
  <si>
    <t>I_PURCHASEORDERITEM</t>
  </si>
  <si>
    <t>I_PURCHASEORDERHISTORY</t>
  </si>
  <si>
    <t>I_ProductSupplyPlanning</t>
  </si>
  <si>
    <t>Detailed FS</t>
  </si>
  <si>
    <t>Plant as an authorization object</t>
  </si>
  <si>
    <t>When user enters the Plant as mandatory in the selection screen, system should calculate the FG deficit based on the Partial open sales order, and open sales order as well as STO. Once the open sales order qty is derived, system should calculate the deficit stock by applying the formula that is (Unrestricted stock+quality stock+ In transit stock)- (Open sales order qty+open STO qty)</t>
  </si>
  <si>
    <t xml:space="preserve">Work Center </t>
  </si>
  <si>
    <t>PRT</t>
  </si>
  <si>
    <t>Once the FG deficit is derived, explode the BOM at 1st level of active BOM. At a time one BOM will be considered. System should calculate the RM PM requirement based on the Deficit QTY of FG.</t>
  </si>
  <si>
    <t>Based On the Routing, system should show the Work center and PRT. If multiple rouitng exist with PRT, system will fetch the workcenter and PRT from 1st Routing Only</t>
  </si>
  <si>
    <t>Work Center</t>
  </si>
  <si>
    <t>Pass Product and Plant to MAPL-MATNR AND Werks for PLNTY= N and 2 and take MAPL-PLNNR and PLNAL. Pass this to PLKO-PLNNR and PLNAL for PLNTY=N and 2 For LOEKZ=Blank. Pass this to PLAS-PLNNR, PLNAL and take PLAS-PLNNR and ZAEHL. Pass this PLAS-PLNNR AND ZAEHL to PLPO-PLNNR and ZAEHL and take PLPO-ARBID. Pass PLPO-ARBID to CRHD-OBJID and take CRHD-ARBPL</t>
  </si>
  <si>
    <t>Pass Product and Plant to MAPL-MATNR AND Werks for PLNTY= N and take MAPL-PLNNR and PLNAL. Pass this to PLKO-PLNNR and PLNAL for PLNTY=N and LOEKZ=Blank. Pass this to PLFH-PLNNR and PLNAL for LOEKZ=Blank and take PLFH-OBJID. Pass OBJID to CRVE_A-OBJID for OBJTY=FH and show CRVE_A-EQUNR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</si>
</sst>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0"/>
      <name val="Arial"/>
      <family val="2"/>
    </font>
    <font>
      <b/>
      <sz val="24"/>
      <name val="Calibri"/>
      <family val="2"/>
    </font>
    <font>
      <sz val="10"/>
      <name val="Calibri"/>
      <family val="2"/>
    </font>
    <font>
      <b/>
      <sz val="10"/>
      <name val="Calibri"/>
      <family val="2"/>
    </font>
    <font>
      <b/>
      <sz val="10"/>
      <color indexed="9"/>
      <name val="Calibri"/>
      <family val="2"/>
    </font>
    <font>
      <b/>
      <sz val="11"/>
      <name val="Calibri"/>
      <family val="2"/>
    </font>
    <font>
      <sz val="11"/>
      <color theme="1"/>
      <name val="Calibri"/>
      <family val="2"/>
    </font>
    <font>
      <b/>
      <sz val="11"/>
      <color theme="1"/>
      <name val="Calibri"/>
      <family val="2"/>
    </font>
    <font>
      <sz val="11"/>
      <name val="Calibri"/>
      <family val="2"/>
    </font>
    <font>
      <u/>
      <sz val="11"/>
      <color theme="10"/>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indexed="56"/>
        <bgColor indexed="64"/>
      </patternFill>
    </fill>
    <fill>
      <patternFill patternType="solid">
        <fgColor indexed="9"/>
        <bgColor indexed="64"/>
      </patternFill>
    </fill>
    <fill>
      <patternFill patternType="solid">
        <fgColor rgb="FFBDD6EE"/>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NumberFormat="0" applyFill="0" applyBorder="0" applyAlignment="0" applyProtection="0"/>
  </cellStyleXfs>
  <cellXfs count="138">
    <xf numFmtId="0" fontId="0" fillId="0" borderId="0" xfId="0"/>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1" fillId="0" borderId="0" xfId="0" applyFont="1"/>
    <xf numFmtId="0" fontId="0" fillId="0" borderId="0" xfId="0" applyAlignment="1">
      <alignment wrapText="1"/>
    </xf>
    <xf numFmtId="0" fontId="0" fillId="0" borderId="0" xfId="0" quotePrefix="1" applyAlignment="1">
      <alignment wrapText="1"/>
    </xf>
    <xf numFmtId="0" fontId="4" fillId="0" borderId="0" xfId="1" applyFont="1" applyAlignment="1">
      <alignment horizontal="center" vertical="center"/>
    </xf>
    <xf numFmtId="0" fontId="6" fillId="3" borderId="8" xfId="1" applyFont="1" applyFill="1" applyBorder="1" applyAlignment="1">
      <alignment horizontal="left" vertical="center"/>
    </xf>
    <xf numFmtId="0" fontId="5" fillId="0" borderId="9" xfId="1" applyFont="1" applyBorder="1" applyAlignment="1">
      <alignment vertical="center" wrapText="1"/>
    </xf>
    <xf numFmtId="0" fontId="5" fillId="0" borderId="10" xfId="1" applyFont="1" applyBorder="1" applyAlignment="1">
      <alignment vertical="center"/>
    </xf>
    <xf numFmtId="0" fontId="5" fillId="0" borderId="8" xfId="1" applyFont="1" applyBorder="1" applyAlignment="1">
      <alignment vertical="center"/>
    </xf>
    <xf numFmtId="0" fontId="6" fillId="3" borderId="1" xfId="1" applyFont="1" applyFill="1" applyBorder="1" applyAlignment="1">
      <alignment horizontal="left" vertical="center"/>
    </xf>
    <xf numFmtId="14" fontId="5" fillId="0" borderId="11" xfId="1" applyNumberFormat="1" applyFont="1" applyBorder="1" applyAlignment="1">
      <alignment horizontal="left" vertical="center"/>
    </xf>
    <xf numFmtId="0" fontId="6" fillId="3" borderId="2" xfId="1" applyFont="1" applyFill="1" applyBorder="1" applyAlignment="1">
      <alignment horizontal="left" vertical="center"/>
    </xf>
    <xf numFmtId="0" fontId="6" fillId="3" borderId="0" xfId="1" applyFont="1" applyFill="1" applyAlignment="1">
      <alignment horizontal="left" vertical="center" wrapText="1"/>
    </xf>
    <xf numFmtId="0" fontId="5" fillId="0" borderId="11" xfId="1" applyFont="1" applyBorder="1" applyAlignment="1">
      <alignment horizontal="left" vertical="center"/>
    </xf>
    <xf numFmtId="0" fontId="5" fillId="0" borderId="11" xfId="1" applyFont="1" applyBorder="1" applyAlignment="1">
      <alignment horizontal="left" vertical="center" wrapText="1"/>
    </xf>
    <xf numFmtId="0" fontId="6" fillId="3" borderId="14" xfId="1" applyFont="1" applyFill="1" applyBorder="1" applyAlignment="1">
      <alignment horizontal="left" vertical="center"/>
    </xf>
    <xf numFmtId="0" fontId="6" fillId="3" borderId="12" xfId="1" applyFont="1" applyFill="1" applyBorder="1" applyAlignment="1">
      <alignment horizontal="left" vertical="center" wrapText="1"/>
    </xf>
    <xf numFmtId="0" fontId="5" fillId="0" borderId="2" xfId="1" applyFont="1" applyBorder="1" applyAlignment="1">
      <alignment vertical="center" wrapText="1"/>
    </xf>
    <xf numFmtId="0" fontId="4" fillId="0" borderId="0" xfId="1" applyFont="1" applyAlignment="1">
      <alignment vertical="center" wrapText="1"/>
    </xf>
    <xf numFmtId="0" fontId="4" fillId="0" borderId="3" xfId="1" applyFont="1" applyBorder="1" applyAlignment="1">
      <alignment vertical="center" wrapText="1"/>
    </xf>
    <xf numFmtId="0" fontId="5" fillId="0" borderId="1" xfId="1" applyFont="1" applyBorder="1" applyAlignment="1">
      <alignment horizontal="center" vertical="center"/>
    </xf>
    <xf numFmtId="0" fontId="5" fillId="0" borderId="1" xfId="1" applyFont="1" applyBorder="1" applyAlignment="1">
      <alignment horizontal="left" vertical="center" wrapText="1"/>
    </xf>
    <xf numFmtId="0" fontId="4" fillId="0" borderId="0" xfId="1" applyFont="1" applyAlignment="1">
      <alignment horizontal="left" vertical="center"/>
    </xf>
    <xf numFmtId="0" fontId="5" fillId="0" borderId="1" xfId="1" applyFont="1" applyBorder="1" applyAlignment="1">
      <alignment vertical="center" wrapText="1"/>
    </xf>
    <xf numFmtId="0" fontId="5" fillId="0" borderId="2" xfId="1" applyFont="1" applyBorder="1" applyAlignment="1">
      <alignment horizontal="left" vertical="center" wrapText="1"/>
    </xf>
    <xf numFmtId="0" fontId="5" fillId="0" borderId="0" xfId="1" applyFont="1" applyAlignment="1">
      <alignment horizontal="left" vertical="center" wrapText="1"/>
    </xf>
    <xf numFmtId="0" fontId="5" fillId="0" borderId="3" xfId="1" applyFont="1" applyBorder="1" applyAlignment="1">
      <alignment horizontal="left" vertical="center" wrapText="1"/>
    </xf>
    <xf numFmtId="0" fontId="8" fillId="0" borderId="0" xfId="0" applyFont="1"/>
    <xf numFmtId="0" fontId="8" fillId="0" borderId="0" xfId="0" applyFont="1" applyAlignment="1">
      <alignment wrapText="1"/>
    </xf>
    <xf numFmtId="0" fontId="9" fillId="0" borderId="0" xfId="0" applyFont="1" applyAlignment="1">
      <alignment wrapText="1"/>
    </xf>
    <xf numFmtId="0" fontId="9" fillId="0" borderId="0" xfId="0" applyFont="1"/>
    <xf numFmtId="0" fontId="6" fillId="3" borderId="8" xfId="1" applyFont="1" applyFill="1" applyBorder="1" applyAlignment="1">
      <alignment horizontal="center" vertical="center"/>
    </xf>
    <xf numFmtId="0" fontId="6" fillId="3" borderId="15" xfId="1" applyFont="1" applyFill="1" applyBorder="1" applyAlignment="1">
      <alignment horizontal="center" vertical="center"/>
    </xf>
    <xf numFmtId="0" fontId="6" fillId="3" borderId="1" xfId="1" applyFont="1" applyFill="1" applyBorder="1" applyAlignment="1">
      <alignment horizontal="center" vertical="center" wrapText="1"/>
    </xf>
    <xf numFmtId="0" fontId="6" fillId="3" borderId="1" xfId="1" applyFont="1" applyFill="1" applyBorder="1" applyAlignment="1">
      <alignment horizontal="center" vertical="center"/>
    </xf>
    <xf numFmtId="0" fontId="6" fillId="3" borderId="9" xfId="1" applyFont="1" applyFill="1" applyBorder="1" applyAlignment="1">
      <alignment horizontal="center" vertical="center"/>
    </xf>
    <xf numFmtId="0" fontId="6" fillId="3" borderId="11" xfId="1" applyFont="1" applyFill="1" applyBorder="1" applyAlignment="1">
      <alignment horizontal="center" vertical="center"/>
    </xf>
    <xf numFmtId="0" fontId="4" fillId="0" borderId="2" xfId="1" applyFont="1" applyBorder="1" applyAlignment="1">
      <alignment horizontal="center" vertical="center"/>
    </xf>
    <xf numFmtId="0" fontId="4" fillId="0" borderId="0" xfId="1" applyFont="1" applyAlignment="1">
      <alignment horizontal="center" vertical="center" wrapText="1"/>
    </xf>
    <xf numFmtId="0" fontId="4" fillId="0" borderId="3" xfId="1" applyFont="1" applyBorder="1" applyAlignment="1">
      <alignment horizontal="center" vertical="center"/>
    </xf>
    <xf numFmtId="0" fontId="4" fillId="0" borderId="10" xfId="1" applyFont="1" applyBorder="1" applyAlignment="1">
      <alignment vertical="center"/>
    </xf>
    <xf numFmtId="0" fontId="4" fillId="0" borderId="11" xfId="1" applyFont="1" applyBorder="1" applyAlignment="1">
      <alignment vertical="center"/>
    </xf>
    <xf numFmtId="0" fontId="4" fillId="0" borderId="17" xfId="1" applyFont="1" applyBorder="1" applyAlignment="1">
      <alignment horizontal="center" vertical="center"/>
    </xf>
    <xf numFmtId="0" fontId="4" fillId="0" borderId="18" xfId="1" applyFont="1" applyBorder="1" applyAlignment="1">
      <alignment horizontal="center" vertical="center" wrapText="1"/>
    </xf>
    <xf numFmtId="0" fontId="4" fillId="0" borderId="18" xfId="1" applyFont="1" applyBorder="1" applyAlignment="1">
      <alignment horizontal="center" vertical="center"/>
    </xf>
    <xf numFmtId="0" fontId="10" fillId="0" borderId="0" xfId="0" applyFont="1" applyAlignment="1">
      <alignment vertical="center"/>
    </xf>
    <xf numFmtId="0" fontId="7" fillId="0" borderId="0" xfId="0" applyFont="1" applyAlignment="1">
      <alignment vertical="center" wrapText="1"/>
    </xf>
    <xf numFmtId="0" fontId="10" fillId="0" borderId="0" xfId="0" applyFont="1" applyAlignment="1">
      <alignment vertical="center" wrapText="1"/>
    </xf>
    <xf numFmtId="0" fontId="7" fillId="5" borderId="23" xfId="0" applyFont="1" applyFill="1" applyBorder="1" applyAlignment="1">
      <alignment vertical="center" wrapText="1"/>
    </xf>
    <xf numFmtId="0" fontId="7" fillId="5" borderId="25" xfId="0" applyFont="1" applyFill="1" applyBorder="1" applyAlignment="1">
      <alignment vertical="center" wrapText="1"/>
    </xf>
    <xf numFmtId="0" fontId="10" fillId="0" borderId="25" xfId="0" applyFont="1" applyBorder="1" applyAlignment="1">
      <alignment vertical="center" wrapText="1"/>
    </xf>
    <xf numFmtId="0" fontId="5" fillId="4" borderId="0" xfId="1" applyFont="1" applyFill="1" applyAlignment="1">
      <alignment horizontal="center" vertical="center" wrapText="1"/>
    </xf>
    <xf numFmtId="0" fontId="5" fillId="0" borderId="0" xfId="1" applyFont="1" applyAlignment="1">
      <alignment horizontal="center" vertical="center"/>
    </xf>
    <xf numFmtId="0" fontId="5" fillId="4" borderId="3" xfId="1" applyFont="1" applyFill="1" applyBorder="1" applyAlignment="1">
      <alignment horizontal="center" vertical="center" wrapText="1"/>
    </xf>
    <xf numFmtId="0" fontId="4" fillId="0" borderId="1" xfId="1" applyFont="1" applyBorder="1" applyAlignment="1">
      <alignment horizontal="left" vertical="center"/>
    </xf>
    <xf numFmtId="0" fontId="5" fillId="4" borderId="1" xfId="1" applyFont="1" applyFill="1" applyBorder="1" applyAlignment="1">
      <alignment horizontal="left" vertical="center" wrapText="1"/>
    </xf>
    <xf numFmtId="0" fontId="5" fillId="0" borderId="1" xfId="1" applyFont="1" applyBorder="1" applyAlignment="1">
      <alignment horizontal="left" vertical="center"/>
    </xf>
    <xf numFmtId="0" fontId="4" fillId="0" borderId="1" xfId="1" applyFont="1" applyBorder="1" applyAlignment="1">
      <alignment horizontal="left" vertical="center" wrapText="1"/>
    </xf>
    <xf numFmtId="0" fontId="11" fillId="0" borderId="0" xfId="2" applyAlignment="1">
      <alignment horizontal="left" vertical="center" wrapText="1"/>
    </xf>
    <xf numFmtId="0" fontId="1" fillId="0" borderId="27" xfId="0" applyFont="1" applyBorder="1"/>
    <xf numFmtId="0" fontId="7" fillId="0" borderId="0" xfId="0" applyFont="1" applyAlignment="1">
      <alignment vertical="center" wrapText="1"/>
    </xf>
    <xf numFmtId="0" fontId="7" fillId="5" borderId="24"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4" fillId="0" borderId="19" xfId="1" applyFont="1" applyBorder="1" applyAlignment="1">
      <alignment horizontal="center" vertical="center" wrapText="1"/>
    </xf>
    <xf numFmtId="0" fontId="4" fillId="0" borderId="20" xfId="1" applyFont="1" applyBorder="1" applyAlignment="1">
      <alignment horizontal="center" vertical="center" wrapText="1"/>
    </xf>
    <xf numFmtId="0" fontId="4" fillId="0" borderId="19" xfId="1" applyFont="1" applyBorder="1" applyAlignment="1">
      <alignment horizontal="center" vertical="center"/>
    </xf>
    <xf numFmtId="0" fontId="4" fillId="0" borderId="21" xfId="1" applyFont="1" applyBorder="1" applyAlignment="1">
      <alignment horizontal="center" vertical="center"/>
    </xf>
    <xf numFmtId="0" fontId="4" fillId="0" borderId="22" xfId="1" applyFont="1" applyBorder="1" applyAlignment="1">
      <alignment horizontal="center" vertical="center"/>
    </xf>
    <xf numFmtId="0" fontId="6" fillId="3" borderId="7" xfId="1" applyFont="1" applyFill="1" applyBorder="1" applyAlignment="1">
      <alignment horizontal="left" vertical="center"/>
    </xf>
    <xf numFmtId="0" fontId="6" fillId="3" borderId="10" xfId="1" applyFont="1" applyFill="1" applyBorder="1" applyAlignment="1">
      <alignment horizontal="left" vertical="center"/>
    </xf>
    <xf numFmtId="0" fontId="4" fillId="0" borderId="1" xfId="1" applyFont="1" applyBorder="1" applyAlignment="1">
      <alignment horizontal="left" vertical="center" wrapText="1"/>
    </xf>
    <xf numFmtId="0" fontId="5" fillId="4" borderId="1" xfId="1" applyFont="1" applyFill="1" applyBorder="1" applyAlignment="1">
      <alignment horizontal="left" vertical="center" wrapText="1"/>
    </xf>
    <xf numFmtId="0" fontId="6" fillId="3" borderId="4" xfId="1" applyFont="1" applyFill="1" applyBorder="1" applyAlignment="1">
      <alignment horizontal="left" vertical="center"/>
    </xf>
    <xf numFmtId="0" fontId="6" fillId="3" borderId="5" xfId="1" applyFont="1" applyFill="1" applyBorder="1" applyAlignment="1">
      <alignment horizontal="left" vertical="center"/>
    </xf>
    <xf numFmtId="0" fontId="6" fillId="3" borderId="16" xfId="1" applyFont="1" applyFill="1" applyBorder="1" applyAlignment="1">
      <alignment horizontal="left"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7" xfId="1" applyFont="1" applyBorder="1" applyAlignment="1">
      <alignment horizontal="center" vertical="center"/>
    </xf>
    <xf numFmtId="0" fontId="4" fillId="0" borderId="2" xfId="1" applyFont="1" applyBorder="1" applyAlignment="1">
      <alignment vertical="top" wrapText="1"/>
    </xf>
    <xf numFmtId="0" fontId="4" fillId="0" borderId="0" xfId="1" applyFont="1" applyAlignment="1">
      <alignment vertical="top" wrapText="1"/>
    </xf>
    <xf numFmtId="0" fontId="4" fillId="0" borderId="3" xfId="1" applyFont="1" applyBorder="1" applyAlignment="1">
      <alignment vertical="top" wrapText="1"/>
    </xf>
    <xf numFmtId="0" fontId="5" fillId="0" borderId="2" xfId="1" applyFont="1" applyBorder="1" applyAlignment="1">
      <alignment vertical="center" wrapText="1"/>
    </xf>
    <xf numFmtId="0" fontId="5" fillId="0" borderId="0" xfId="1" applyFont="1" applyAlignment="1">
      <alignment vertical="center" wrapText="1"/>
    </xf>
    <xf numFmtId="0" fontId="5" fillId="0" borderId="3" xfId="1" applyFont="1" applyBorder="1" applyAlignment="1">
      <alignment vertical="center" wrapText="1"/>
    </xf>
    <xf numFmtId="0" fontId="5" fillId="0" borderId="2" xfId="1" applyFont="1" applyBorder="1" applyAlignment="1">
      <alignment horizontal="left" vertical="center" wrapText="1"/>
    </xf>
    <xf numFmtId="0" fontId="5" fillId="0" borderId="0" xfId="1" applyFont="1" applyAlignment="1">
      <alignment horizontal="left" vertical="center" wrapText="1"/>
    </xf>
    <xf numFmtId="0" fontId="5" fillId="0" borderId="3" xfId="1" applyFont="1" applyBorder="1" applyAlignment="1">
      <alignment horizontal="left" vertical="center" wrapText="1"/>
    </xf>
    <xf numFmtId="0" fontId="5" fillId="0" borderId="9" xfId="1" applyFont="1" applyBorder="1" applyAlignment="1">
      <alignment horizontal="left" vertical="center" wrapText="1"/>
    </xf>
    <xf numFmtId="0" fontId="5" fillId="0" borderId="10" xfId="1" applyFont="1" applyBorder="1" applyAlignment="1">
      <alignment horizontal="left" vertical="center" wrapText="1"/>
    </xf>
    <xf numFmtId="0" fontId="5" fillId="0" borderId="8" xfId="1" applyFont="1" applyBorder="1" applyAlignment="1">
      <alignment horizontal="left" vertical="center" wrapText="1"/>
    </xf>
    <xf numFmtId="0" fontId="5" fillId="2" borderId="9" xfId="1" applyFont="1" applyFill="1" applyBorder="1" applyAlignment="1">
      <alignment horizontal="center" vertical="center"/>
    </xf>
    <xf numFmtId="0" fontId="5" fillId="2" borderId="10" xfId="1" applyFont="1" applyFill="1" applyBorder="1" applyAlignment="1">
      <alignment horizontal="center" vertical="center"/>
    </xf>
    <xf numFmtId="0" fontId="5" fillId="2" borderId="8"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8" xfId="1" applyFont="1" applyFill="1" applyBorder="1" applyAlignment="1">
      <alignment horizontal="center" vertical="center"/>
    </xf>
    <xf numFmtId="0" fontId="4" fillId="0" borderId="9"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11" xfId="1" applyFont="1" applyBorder="1" applyAlignment="1">
      <alignment horizontal="center" vertical="center" wrapText="1"/>
    </xf>
    <xf numFmtId="0" fontId="6" fillId="3" borderId="7"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4" fillId="0" borderId="0" xfId="1" applyFont="1" applyAlignment="1">
      <alignment vertical="center" wrapText="1"/>
    </xf>
    <xf numFmtId="0" fontId="4" fillId="0" borderId="3" xfId="1" applyFont="1" applyBorder="1" applyAlignment="1">
      <alignment vertical="center" wrapText="1"/>
    </xf>
    <xf numFmtId="0" fontId="5" fillId="2" borderId="1" xfId="1" applyFont="1" applyFill="1" applyBorder="1" applyAlignment="1">
      <alignment horizontal="center" vertical="center"/>
    </xf>
    <xf numFmtId="0" fontId="6" fillId="3" borderId="8" xfId="1" applyFont="1" applyFill="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5" xfId="1" applyFont="1" applyBorder="1" applyAlignment="1">
      <alignment horizontal="left" vertical="center"/>
    </xf>
    <xf numFmtId="0" fontId="4" fillId="0" borderId="6" xfId="1" applyFont="1" applyBorder="1" applyAlignment="1">
      <alignment horizontal="left" vertical="center"/>
    </xf>
    <xf numFmtId="0" fontId="5" fillId="0" borderId="14" xfId="1" applyFont="1" applyBorder="1" applyAlignment="1">
      <alignment vertical="center" wrapText="1"/>
    </xf>
    <xf numFmtId="0" fontId="5" fillId="0" borderId="12" xfId="1" applyFont="1" applyBorder="1" applyAlignment="1">
      <alignment vertical="center" wrapText="1"/>
    </xf>
    <xf numFmtId="0" fontId="5" fillId="0" borderId="13" xfId="1" applyFont="1" applyBorder="1" applyAlignment="1">
      <alignment vertical="center" wrapText="1"/>
    </xf>
    <xf numFmtId="0" fontId="4" fillId="0" borderId="2" xfId="1" applyFont="1" applyBorder="1" applyAlignment="1">
      <alignment vertical="center" wrapText="1"/>
    </xf>
    <xf numFmtId="0" fontId="4" fillId="0" borderId="0" xfId="1" applyFont="1" applyAlignment="1">
      <alignment vertical="center"/>
    </xf>
    <xf numFmtId="0" fontId="6" fillId="3" borderId="7" xfId="1" applyFont="1" applyFill="1" applyBorder="1" applyAlignment="1">
      <alignment horizontal="left" vertical="center" wrapText="1"/>
    </xf>
    <xf numFmtId="0" fontId="4" fillId="0" borderId="8" xfId="1" applyFont="1" applyBorder="1" applyAlignment="1">
      <alignment horizontal="left" vertical="center" wrapText="1"/>
    </xf>
    <xf numFmtId="0" fontId="7" fillId="0" borderId="9" xfId="1" applyFont="1" applyBorder="1" applyAlignment="1">
      <alignment horizontal="left" vertical="center" wrapText="1"/>
    </xf>
    <xf numFmtId="0" fontId="7" fillId="0" borderId="8" xfId="1" applyFont="1" applyBorder="1" applyAlignment="1">
      <alignment horizontal="left" vertical="center" wrapText="1"/>
    </xf>
    <xf numFmtId="0" fontId="6" fillId="3" borderId="9" xfId="1" applyFont="1" applyFill="1" applyBorder="1" applyAlignment="1">
      <alignment horizontal="left" vertical="center" wrapText="1"/>
    </xf>
    <xf numFmtId="0" fontId="7" fillId="0" borderId="11" xfId="1" applyFont="1" applyBorder="1" applyAlignment="1">
      <alignment horizontal="left" vertical="center" wrapText="1"/>
    </xf>
    <xf numFmtId="0" fontId="3" fillId="0" borderId="2" xfId="1" applyFont="1" applyBorder="1" applyAlignment="1">
      <alignment horizontal="center" vertical="center"/>
    </xf>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4" fillId="0" borderId="9" xfId="1" applyFont="1" applyBorder="1" applyAlignment="1">
      <alignment horizontal="left" vertical="center"/>
    </xf>
    <xf numFmtId="0" fontId="4" fillId="0" borderId="10" xfId="1" applyFont="1" applyBorder="1" applyAlignment="1">
      <alignment horizontal="left" vertical="center"/>
    </xf>
    <xf numFmtId="0" fontId="4" fillId="0" borderId="8" xfId="1" applyFont="1" applyBorder="1" applyAlignment="1">
      <alignment horizontal="left" vertical="center"/>
    </xf>
    <xf numFmtId="0" fontId="4" fillId="0" borderId="9" xfId="1" applyFont="1" applyBorder="1" applyAlignment="1">
      <alignment horizontal="left" vertical="center" wrapText="1"/>
    </xf>
    <xf numFmtId="0" fontId="4" fillId="0" borderId="10" xfId="1" applyFont="1" applyBorder="1" applyAlignment="1">
      <alignment horizontal="left" vertical="center" wrapText="1"/>
    </xf>
    <xf numFmtId="0" fontId="5" fillId="0" borderId="11" xfId="1" applyFont="1" applyBorder="1" applyAlignment="1">
      <alignment horizontal="left" vertical="center" wrapText="1"/>
    </xf>
  </cellXfs>
  <cellStyles count="3">
    <cellStyle name="Hyperlink" xfId="2" builtinId="8"/>
    <cellStyle name="Normal" xfId="0" builtinId="0"/>
    <cellStyle name="Normal 2" xfId="1" xr:uid="{89A6679B-B53B-4AAB-A995-41328F2460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0</xdr:row>
      <xdr:rowOff>133352</xdr:rowOff>
    </xdr:from>
    <xdr:to>
      <xdr:col>7</xdr:col>
      <xdr:colOff>19050</xdr:colOff>
      <xdr:row>1</xdr:row>
      <xdr:rowOff>72062</xdr:rowOff>
    </xdr:to>
    <xdr:pic>
      <xdr:nvPicPr>
        <xdr:cNvPr id="2" name="Picture 1">
          <a:extLst>
            <a:ext uri="{FF2B5EF4-FFF2-40B4-BE49-F238E27FC236}">
              <a16:creationId xmlns:a16="http://schemas.microsoft.com/office/drawing/2014/main" id="{0D552DB6-20A2-4347-B813-2E948F83D9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72900" y="133352"/>
          <a:ext cx="0" cy="122860"/>
        </a:xfrm>
        <a:prstGeom prst="rect">
          <a:avLst/>
        </a:prstGeom>
      </xdr:spPr>
    </xdr:pic>
    <xdr:clientData/>
  </xdr:twoCellAnchor>
  <xdr:twoCellAnchor editAs="oneCell">
    <xdr:from>
      <xdr:col>7</xdr:col>
      <xdr:colOff>19050</xdr:colOff>
      <xdr:row>0</xdr:row>
      <xdr:rowOff>133352</xdr:rowOff>
    </xdr:from>
    <xdr:to>
      <xdr:col>7</xdr:col>
      <xdr:colOff>19050</xdr:colOff>
      <xdr:row>1</xdr:row>
      <xdr:rowOff>91112</xdr:rowOff>
    </xdr:to>
    <xdr:pic>
      <xdr:nvPicPr>
        <xdr:cNvPr id="3" name="Picture 2">
          <a:extLst>
            <a:ext uri="{FF2B5EF4-FFF2-40B4-BE49-F238E27FC236}">
              <a16:creationId xmlns:a16="http://schemas.microsoft.com/office/drawing/2014/main" id="{E903D4D2-17B1-4D45-B3E0-234B0F9B6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72900" y="133352"/>
          <a:ext cx="0" cy="1419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BD964-25FF-41EE-9242-1A84CA5D27A9}">
  <dimension ref="A2:R22"/>
  <sheetViews>
    <sheetView topLeftCell="B8" workbookViewId="0">
      <selection activeCell="B8" sqref="B8"/>
    </sheetView>
  </sheetViews>
  <sheetFormatPr defaultRowHeight="14.5" x14ac:dyDescent="0.35"/>
  <cols>
    <col min="1" max="1" width="20.36328125" customWidth="1"/>
    <col min="2" max="2" width="40.1796875" style="6" customWidth="1"/>
    <col min="3" max="3" width="13.1796875" bestFit="1" customWidth="1"/>
    <col min="4" max="4" width="15.453125" bestFit="1" customWidth="1"/>
    <col min="5" max="5" width="5.1796875" bestFit="1" customWidth="1"/>
    <col min="6" max="6" width="8.1796875" bestFit="1" customWidth="1"/>
    <col min="7" max="7" width="14.90625" bestFit="1" customWidth="1"/>
    <col min="8" max="8" width="11.81640625" bestFit="1" customWidth="1"/>
    <col min="9" max="9" width="13.7265625" bestFit="1" customWidth="1"/>
    <col min="10" max="10" width="14.90625" bestFit="1" customWidth="1"/>
    <col min="11" max="11" width="13.7265625" bestFit="1" customWidth="1"/>
    <col min="12" max="12" width="5.54296875" bestFit="1" customWidth="1"/>
    <col min="13" max="13" width="6.453125" bestFit="1" customWidth="1"/>
    <col min="14" max="14" width="13.81640625" bestFit="1" customWidth="1"/>
    <col min="15" max="15" width="14.08984375" bestFit="1" customWidth="1"/>
    <col min="16" max="16" width="9.6328125" bestFit="1" customWidth="1"/>
  </cols>
  <sheetData>
    <row r="2" spans="1:4" x14ac:dyDescent="0.35">
      <c r="A2" s="5" t="s">
        <v>19</v>
      </c>
    </row>
    <row r="4" spans="1:4" ht="116" x14ac:dyDescent="0.35">
      <c r="B4" s="6" t="s">
        <v>159</v>
      </c>
    </row>
    <row r="6" spans="1:4" ht="58" x14ac:dyDescent="0.35">
      <c r="B6" s="6" t="s">
        <v>162</v>
      </c>
    </row>
    <row r="8" spans="1:4" ht="58" x14ac:dyDescent="0.35">
      <c r="B8" s="6" t="s">
        <v>163</v>
      </c>
    </row>
    <row r="10" spans="1:4" x14ac:dyDescent="0.35">
      <c r="A10" s="5" t="s">
        <v>20</v>
      </c>
    </row>
    <row r="11" spans="1:4" x14ac:dyDescent="0.35">
      <c r="B11" s="6" t="s">
        <v>21</v>
      </c>
    </row>
    <row r="14" spans="1:4" x14ac:dyDescent="0.35">
      <c r="A14" s="5" t="s">
        <v>22</v>
      </c>
    </row>
    <row r="16" spans="1:4" x14ac:dyDescent="0.35">
      <c r="A16" s="5" t="s">
        <v>4</v>
      </c>
      <c r="B16" s="6" t="s">
        <v>25</v>
      </c>
      <c r="C16" t="s">
        <v>27</v>
      </c>
      <c r="D16" t="s">
        <v>28</v>
      </c>
    </row>
    <row r="17" spans="1:18" x14ac:dyDescent="0.35">
      <c r="A17" s="5" t="s">
        <v>23</v>
      </c>
      <c r="B17" s="6" t="s">
        <v>26</v>
      </c>
      <c r="C17" t="s">
        <v>27</v>
      </c>
      <c r="D17" t="s">
        <v>28</v>
      </c>
    </row>
    <row r="18" spans="1:18" x14ac:dyDescent="0.35">
      <c r="A18" s="5" t="s">
        <v>24</v>
      </c>
      <c r="B18" s="6" t="s">
        <v>26</v>
      </c>
      <c r="C18" t="s">
        <v>27</v>
      </c>
      <c r="D18" t="s">
        <v>28</v>
      </c>
    </row>
    <row r="20" spans="1:18" x14ac:dyDescent="0.35">
      <c r="A20" s="5" t="s">
        <v>29</v>
      </c>
    </row>
    <row r="21" spans="1:18" x14ac:dyDescent="0.35">
      <c r="A21" s="1" t="s">
        <v>0</v>
      </c>
      <c r="B21" s="2" t="s">
        <v>1</v>
      </c>
      <c r="C21" s="1" t="s">
        <v>2</v>
      </c>
      <c r="D21" s="1" t="s">
        <v>3</v>
      </c>
      <c r="E21" s="1" t="s">
        <v>4</v>
      </c>
      <c r="F21" s="1" t="s">
        <v>17</v>
      </c>
      <c r="G21" s="1" t="s">
        <v>6</v>
      </c>
      <c r="H21" s="1" t="s">
        <v>7</v>
      </c>
      <c r="I21" s="1" t="s">
        <v>18</v>
      </c>
      <c r="J21" s="1" t="s">
        <v>9</v>
      </c>
      <c r="K21" s="1" t="s">
        <v>10</v>
      </c>
      <c r="L21" s="1" t="s">
        <v>15</v>
      </c>
      <c r="M21" s="1" t="s">
        <v>16</v>
      </c>
      <c r="N21" s="1" t="s">
        <v>12</v>
      </c>
      <c r="O21" s="1" t="s">
        <v>13</v>
      </c>
      <c r="P21" s="1" t="s">
        <v>14</v>
      </c>
      <c r="Q21" s="63" t="s">
        <v>160</v>
      </c>
      <c r="R21" s="63" t="s">
        <v>161</v>
      </c>
    </row>
    <row r="22" spans="1:18" x14ac:dyDescent="0.35">
      <c r="A22" s="3"/>
      <c r="B22" s="4"/>
      <c r="C22" s="3"/>
      <c r="D22" s="3"/>
      <c r="E22" s="3"/>
      <c r="F22" s="3"/>
      <c r="G22" s="3"/>
      <c r="H22" s="3"/>
      <c r="I22" s="3"/>
      <c r="J22" s="3"/>
      <c r="K22" s="3"/>
      <c r="L22" s="3"/>
      <c r="M22" s="3"/>
      <c r="N22" s="3"/>
      <c r="O22" s="3"/>
      <c r="P2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6D79-0955-4463-ACE5-CFB642219697}">
  <dimension ref="A1:N97"/>
  <sheetViews>
    <sheetView topLeftCell="A9" workbookViewId="0">
      <selection activeCell="A33" sqref="A33"/>
    </sheetView>
  </sheetViews>
  <sheetFormatPr defaultColWidth="0" defaultRowHeight="13" x14ac:dyDescent="0.35"/>
  <cols>
    <col min="1" max="1" width="14.453125" style="8" bestFit="1" customWidth="1"/>
    <col min="2" max="2" width="40.453125" style="42" customWidth="1"/>
    <col min="3" max="3" width="17.54296875" style="8" bestFit="1" customWidth="1"/>
    <col min="4" max="4" width="26" style="8" customWidth="1"/>
    <col min="5" max="5" width="23.36328125" style="8" bestFit="1" customWidth="1"/>
    <col min="6" max="6" width="25.26953125" style="8" customWidth="1"/>
    <col min="7" max="7" width="21.1796875" style="8" customWidth="1"/>
    <col min="8" max="8" width="50.90625" style="8" customWidth="1"/>
    <col min="9" max="9" width="8" style="8" customWidth="1"/>
    <col min="10" max="16384" width="0" style="8" hidden="1"/>
  </cols>
  <sheetData>
    <row r="1" spans="1:8" x14ac:dyDescent="0.35">
      <c r="A1" s="126" t="s">
        <v>95</v>
      </c>
      <c r="B1" s="127"/>
      <c r="C1" s="127"/>
      <c r="D1" s="127"/>
      <c r="E1" s="127"/>
      <c r="F1" s="127"/>
      <c r="G1" s="127"/>
      <c r="H1" s="128"/>
    </row>
    <row r="2" spans="1:8" x14ac:dyDescent="0.35">
      <c r="A2" s="126"/>
      <c r="B2" s="127"/>
      <c r="C2" s="127"/>
      <c r="D2" s="127"/>
      <c r="E2" s="127"/>
      <c r="F2" s="127"/>
      <c r="G2" s="127"/>
      <c r="H2" s="128"/>
    </row>
    <row r="3" spans="1:8" x14ac:dyDescent="0.35">
      <c r="A3" s="126"/>
      <c r="B3" s="127"/>
      <c r="C3" s="127"/>
      <c r="D3" s="127"/>
      <c r="E3" s="127"/>
      <c r="F3" s="127"/>
      <c r="G3" s="127"/>
      <c r="H3" s="128"/>
    </row>
    <row r="4" spans="1:8" x14ac:dyDescent="0.35">
      <c r="A4" s="129"/>
      <c r="B4" s="130"/>
      <c r="C4" s="130"/>
      <c r="D4" s="130"/>
      <c r="E4" s="130"/>
      <c r="F4" s="130"/>
      <c r="G4" s="130"/>
      <c r="H4" s="131"/>
    </row>
    <row r="5" spans="1:8" x14ac:dyDescent="0.35">
      <c r="A5" s="109" t="s">
        <v>96</v>
      </c>
      <c r="B5" s="109"/>
      <c r="C5" s="109"/>
      <c r="D5" s="109"/>
      <c r="E5" s="109"/>
      <c r="F5" s="109"/>
      <c r="G5" s="109"/>
      <c r="H5" s="109"/>
    </row>
    <row r="6" spans="1:8" ht="39" x14ac:dyDescent="0.35">
      <c r="A6" s="74" t="s">
        <v>97</v>
      </c>
      <c r="B6" s="110"/>
      <c r="C6" s="10" t="s">
        <v>139</v>
      </c>
      <c r="D6" s="11"/>
      <c r="E6" s="11"/>
      <c r="F6" s="12"/>
      <c r="G6" s="13" t="s">
        <v>98</v>
      </c>
      <c r="H6" s="14" t="s">
        <v>141</v>
      </c>
    </row>
    <row r="7" spans="1:8" x14ac:dyDescent="0.35">
      <c r="A7" s="15" t="s">
        <v>99</v>
      </c>
      <c r="B7" s="16"/>
      <c r="C7" s="132" t="s">
        <v>139</v>
      </c>
      <c r="D7" s="133"/>
      <c r="E7" s="133"/>
      <c r="F7" s="134"/>
      <c r="G7" s="13" t="s">
        <v>100</v>
      </c>
      <c r="H7" s="17">
        <v>1</v>
      </c>
    </row>
    <row r="8" spans="1:8" x14ac:dyDescent="0.35">
      <c r="A8" s="120" t="s">
        <v>101</v>
      </c>
      <c r="B8" s="75"/>
      <c r="C8" s="135" t="s">
        <v>140</v>
      </c>
      <c r="D8" s="136"/>
      <c r="E8" s="136"/>
      <c r="F8" s="121"/>
      <c r="G8" s="9" t="s">
        <v>102</v>
      </c>
      <c r="H8" s="18" t="s">
        <v>103</v>
      </c>
    </row>
    <row r="9" spans="1:8" x14ac:dyDescent="0.35">
      <c r="A9" s="109" t="s">
        <v>104</v>
      </c>
      <c r="B9" s="109"/>
      <c r="C9" s="109"/>
      <c r="D9" s="109"/>
      <c r="E9" s="109"/>
      <c r="F9" s="109"/>
      <c r="G9" s="109"/>
      <c r="H9" s="109"/>
    </row>
    <row r="10" spans="1:8" x14ac:dyDescent="0.35">
      <c r="A10" s="120" t="s">
        <v>105</v>
      </c>
      <c r="B10" s="121"/>
      <c r="C10" s="135" t="s">
        <v>142</v>
      </c>
      <c r="D10" s="121"/>
      <c r="E10" s="124" t="s">
        <v>106</v>
      </c>
      <c r="F10" s="121"/>
      <c r="G10" s="94" t="s">
        <v>107</v>
      </c>
      <c r="H10" s="137"/>
    </row>
    <row r="11" spans="1:8" ht="14.5" x14ac:dyDescent="0.35">
      <c r="A11" s="120" t="s">
        <v>108</v>
      </c>
      <c r="B11" s="121"/>
      <c r="C11" s="122"/>
      <c r="D11" s="123"/>
      <c r="E11" s="124" t="s">
        <v>109</v>
      </c>
      <c r="F11" s="121"/>
      <c r="G11" s="122"/>
      <c r="H11" s="125"/>
    </row>
    <row r="12" spans="1:8" x14ac:dyDescent="0.35">
      <c r="A12" s="109" t="s">
        <v>110</v>
      </c>
      <c r="B12" s="109"/>
      <c r="C12" s="109"/>
      <c r="D12" s="109"/>
      <c r="E12" s="109"/>
      <c r="F12" s="109"/>
      <c r="G12" s="109"/>
      <c r="H12" s="109"/>
    </row>
    <row r="13" spans="1:8" x14ac:dyDescent="0.35">
      <c r="A13" s="74" t="s">
        <v>111</v>
      </c>
      <c r="B13" s="110"/>
      <c r="C13" s="111" t="s">
        <v>139</v>
      </c>
      <c r="D13" s="111"/>
      <c r="E13" s="111"/>
      <c r="F13" s="111"/>
      <c r="G13" s="111"/>
      <c r="H13" s="112"/>
    </row>
    <row r="14" spans="1:8" x14ac:dyDescent="0.35">
      <c r="A14" s="19"/>
      <c r="B14" s="20"/>
      <c r="C14" s="113"/>
      <c r="D14" s="113"/>
      <c r="E14" s="113"/>
      <c r="F14" s="113"/>
      <c r="G14" s="113"/>
      <c r="H14" s="114"/>
    </row>
    <row r="15" spans="1:8" x14ac:dyDescent="0.35">
      <c r="A15" s="115" t="s">
        <v>143</v>
      </c>
      <c r="B15" s="116"/>
      <c r="C15" s="116"/>
      <c r="D15" s="116"/>
      <c r="E15" s="116"/>
      <c r="F15" s="116"/>
      <c r="G15" s="116"/>
      <c r="H15" s="117"/>
    </row>
    <row r="16" spans="1:8" x14ac:dyDescent="0.35">
      <c r="A16" s="88" t="s">
        <v>112</v>
      </c>
      <c r="B16" s="107"/>
      <c r="C16" s="107"/>
      <c r="D16" s="107"/>
      <c r="E16" s="107"/>
      <c r="F16" s="107"/>
      <c r="G16" s="107"/>
      <c r="H16" s="108"/>
    </row>
    <row r="17" spans="1:8" x14ac:dyDescent="0.35">
      <c r="A17" s="21"/>
      <c r="B17" s="22"/>
      <c r="C17" s="22"/>
      <c r="D17" s="22"/>
      <c r="E17" s="22"/>
      <c r="F17" s="22"/>
      <c r="G17" s="22"/>
      <c r="H17" s="23"/>
    </row>
    <row r="18" spans="1:8" ht="26" x14ac:dyDescent="0.35">
      <c r="A18" s="21" t="s">
        <v>113</v>
      </c>
      <c r="B18" s="10" t="s">
        <v>139</v>
      </c>
      <c r="C18" s="22"/>
      <c r="D18" s="22"/>
      <c r="E18" s="22"/>
      <c r="F18" s="22"/>
      <c r="G18" s="22"/>
      <c r="H18" s="23"/>
    </row>
    <row r="19" spans="1:8" x14ac:dyDescent="0.35">
      <c r="A19" s="118"/>
      <c r="B19" s="107"/>
      <c r="C19" s="107"/>
      <c r="D19" s="107"/>
      <c r="E19" s="107"/>
      <c r="F19" s="107"/>
      <c r="G19" s="107"/>
      <c r="H19" s="108"/>
    </row>
    <row r="20" spans="1:8" s="119" customFormat="1" x14ac:dyDescent="0.35">
      <c r="A20" s="89" t="s">
        <v>144</v>
      </c>
    </row>
    <row r="21" spans="1:8" x14ac:dyDescent="0.35">
      <c r="A21" s="118" t="s">
        <v>114</v>
      </c>
      <c r="B21" s="107"/>
      <c r="C21" s="107"/>
      <c r="D21" s="107"/>
      <c r="E21" s="107"/>
      <c r="F21" s="107"/>
      <c r="G21" s="107"/>
      <c r="H21" s="108"/>
    </row>
    <row r="22" spans="1:8" x14ac:dyDescent="0.35">
      <c r="A22" s="118" t="s">
        <v>115</v>
      </c>
      <c r="B22" s="107"/>
      <c r="C22" s="107"/>
      <c r="D22" s="107"/>
      <c r="E22" s="107"/>
      <c r="F22" s="107"/>
      <c r="G22" s="107"/>
      <c r="H22" s="108"/>
    </row>
    <row r="23" spans="1:8" x14ac:dyDescent="0.35">
      <c r="A23" s="88" t="s">
        <v>145</v>
      </c>
      <c r="B23" s="107"/>
      <c r="C23" s="107"/>
      <c r="D23" s="107"/>
      <c r="E23" s="107"/>
      <c r="F23" s="107"/>
      <c r="G23" s="107"/>
      <c r="H23" s="108"/>
    </row>
    <row r="24" spans="1:8" x14ac:dyDescent="0.35">
      <c r="A24" s="88" t="s">
        <v>116</v>
      </c>
      <c r="B24" s="107"/>
      <c r="C24" s="107"/>
      <c r="D24" s="107"/>
      <c r="E24" s="107"/>
      <c r="F24" s="107"/>
      <c r="G24" s="107"/>
      <c r="H24" s="108"/>
    </row>
    <row r="25" spans="1:8" x14ac:dyDescent="0.35">
      <c r="A25" s="88" t="s">
        <v>117</v>
      </c>
      <c r="B25" s="107"/>
      <c r="C25" s="107"/>
      <c r="D25" s="107"/>
      <c r="E25" s="107"/>
      <c r="F25" s="107"/>
      <c r="G25" s="107"/>
      <c r="H25" s="108"/>
    </row>
    <row r="26" spans="1:8" x14ac:dyDescent="0.35">
      <c r="A26" s="85" t="s">
        <v>146</v>
      </c>
      <c r="B26" s="86"/>
      <c r="C26" s="86"/>
      <c r="D26" s="86"/>
      <c r="E26" s="86"/>
      <c r="F26" s="86"/>
      <c r="G26" s="86"/>
      <c r="H26" s="87"/>
    </row>
    <row r="27" spans="1:8" x14ac:dyDescent="0.35">
      <c r="A27" s="88" t="s">
        <v>118</v>
      </c>
      <c r="B27" s="89"/>
      <c r="C27" s="89"/>
      <c r="D27" s="89"/>
      <c r="E27" s="89"/>
      <c r="F27" s="89"/>
      <c r="G27" s="89"/>
      <c r="H27" s="90"/>
    </row>
    <row r="28" spans="1:8" s="26" customFormat="1" x14ac:dyDescent="0.35">
      <c r="A28" s="24"/>
      <c r="B28" s="25"/>
      <c r="C28" s="25"/>
      <c r="D28" s="25"/>
      <c r="E28" s="25"/>
      <c r="F28" s="25"/>
      <c r="G28" s="25"/>
      <c r="H28" s="25"/>
    </row>
    <row r="29" spans="1:8" x14ac:dyDescent="0.35">
      <c r="A29" s="27"/>
      <c r="B29" s="27"/>
      <c r="C29" s="27"/>
      <c r="D29" s="27"/>
      <c r="E29" s="27"/>
      <c r="F29" s="27"/>
      <c r="G29" s="27"/>
      <c r="H29" s="27"/>
    </row>
    <row r="30" spans="1:8" x14ac:dyDescent="0.35">
      <c r="A30" s="91" t="s">
        <v>119</v>
      </c>
      <c r="B30" s="92"/>
      <c r="C30" s="92"/>
      <c r="D30" s="92"/>
      <c r="E30" s="92"/>
      <c r="F30" s="92"/>
      <c r="G30" s="92"/>
      <c r="H30" s="93"/>
    </row>
    <row r="31" spans="1:8" x14ac:dyDescent="0.35">
      <c r="A31" s="29"/>
      <c r="B31" s="29"/>
      <c r="C31" s="29"/>
      <c r="D31" s="29"/>
      <c r="E31" s="29"/>
      <c r="F31" s="29"/>
      <c r="G31" s="29"/>
      <c r="H31" s="29"/>
    </row>
    <row r="32" spans="1:8" x14ac:dyDescent="0.35">
      <c r="A32" s="29"/>
      <c r="B32" s="29"/>
      <c r="C32" s="29"/>
      <c r="D32" s="29"/>
      <c r="E32" s="29"/>
      <c r="F32" s="29"/>
      <c r="G32" s="29"/>
      <c r="H32" s="29"/>
    </row>
    <row r="33" spans="1:8" ht="14.5" x14ac:dyDescent="0.35">
      <c r="A33" s="62" t="s">
        <v>157</v>
      </c>
      <c r="B33" s="29"/>
      <c r="C33" s="29"/>
      <c r="D33" s="29"/>
      <c r="E33" s="29"/>
      <c r="F33" s="29"/>
      <c r="G33" s="29"/>
      <c r="H33" s="29"/>
    </row>
    <row r="34" spans="1:8" x14ac:dyDescent="0.35">
      <c r="A34" s="29"/>
      <c r="B34" s="29"/>
      <c r="C34" s="29"/>
      <c r="D34" s="29"/>
      <c r="E34" s="29"/>
      <c r="F34" s="29"/>
      <c r="G34" s="29"/>
      <c r="H34" s="29"/>
    </row>
    <row r="35" spans="1:8" x14ac:dyDescent="0.35">
      <c r="A35" s="29"/>
      <c r="B35" s="29"/>
      <c r="C35" s="29"/>
      <c r="D35" s="29"/>
      <c r="E35" s="29"/>
      <c r="F35" s="29"/>
      <c r="G35" s="29"/>
      <c r="H35" s="29"/>
    </row>
    <row r="36" spans="1:8" x14ac:dyDescent="0.35">
      <c r="A36" s="29"/>
      <c r="B36" s="29"/>
      <c r="C36" s="29"/>
      <c r="D36" s="29"/>
      <c r="E36" s="29"/>
      <c r="F36" s="29"/>
      <c r="G36" s="29"/>
      <c r="H36" s="29"/>
    </row>
    <row r="37" spans="1:8" x14ac:dyDescent="0.35">
      <c r="A37" s="29"/>
      <c r="B37" s="29"/>
      <c r="C37" s="29"/>
      <c r="D37" s="29"/>
      <c r="E37" s="29"/>
      <c r="F37" s="29"/>
      <c r="G37" s="29"/>
      <c r="H37" s="29"/>
    </row>
    <row r="38" spans="1:8" x14ac:dyDescent="0.35">
      <c r="A38" s="29"/>
      <c r="B38" s="29"/>
      <c r="C38" s="29"/>
      <c r="D38" s="29"/>
      <c r="E38" s="29"/>
      <c r="F38" s="29"/>
      <c r="G38" s="29"/>
      <c r="H38" s="29"/>
    </row>
    <row r="39" spans="1:8" x14ac:dyDescent="0.35">
      <c r="A39" s="29"/>
      <c r="B39" s="29"/>
      <c r="C39" s="29"/>
      <c r="D39" s="29"/>
      <c r="E39" s="29"/>
      <c r="F39" s="29"/>
      <c r="G39" s="29"/>
      <c r="H39" s="29"/>
    </row>
    <row r="40" spans="1:8" ht="14.5" x14ac:dyDescent="0.35">
      <c r="A40" s="31"/>
      <c r="B40" s="32"/>
      <c r="C40" s="33"/>
      <c r="D40" s="31"/>
      <c r="E40" s="34"/>
      <c r="F40" s="34"/>
      <c r="G40" s="33"/>
      <c r="H40" s="31"/>
    </row>
    <row r="41" spans="1:8" x14ac:dyDescent="0.35">
      <c r="A41" s="91"/>
      <c r="B41" s="92"/>
      <c r="C41" s="92"/>
      <c r="D41" s="92"/>
      <c r="E41" s="92"/>
      <c r="F41" s="92"/>
      <c r="G41" s="92"/>
      <c r="H41" s="93"/>
    </row>
    <row r="42" spans="1:8" ht="14.5" x14ac:dyDescent="0.35">
      <c r="A42" s="31"/>
      <c r="B42" s="32"/>
      <c r="C42" s="33"/>
      <c r="D42" s="31"/>
      <c r="E42" s="34"/>
      <c r="F42" s="34"/>
      <c r="G42" s="33"/>
      <c r="H42" s="31"/>
    </row>
    <row r="43" spans="1:8" ht="14.5" x14ac:dyDescent="0.35">
      <c r="A43" s="31"/>
      <c r="B43" s="32"/>
      <c r="C43" s="33"/>
      <c r="D43" s="31"/>
      <c r="E43" s="34"/>
      <c r="F43" s="34"/>
      <c r="G43" s="33"/>
      <c r="H43" s="31"/>
    </row>
    <row r="44" spans="1:8" ht="14.5" x14ac:dyDescent="0.35">
      <c r="A44" s="31"/>
      <c r="B44" s="32"/>
      <c r="C44" s="33"/>
      <c r="D44" s="31"/>
      <c r="E44" s="34"/>
      <c r="F44" s="34"/>
      <c r="G44" s="33"/>
      <c r="H44" s="31"/>
    </row>
    <row r="45" spans="1:8" x14ac:dyDescent="0.35">
      <c r="A45" s="28"/>
      <c r="B45" s="29"/>
      <c r="C45" s="29"/>
      <c r="D45" s="29"/>
      <c r="E45" s="29"/>
      <c r="F45" s="29"/>
      <c r="G45" s="29"/>
      <c r="H45" s="30"/>
    </row>
    <row r="46" spans="1:8" x14ac:dyDescent="0.35">
      <c r="A46" s="94"/>
      <c r="B46" s="95"/>
      <c r="C46" s="95"/>
      <c r="D46" s="95"/>
      <c r="E46" s="95"/>
      <c r="F46" s="95"/>
      <c r="G46" s="95"/>
      <c r="H46" s="96"/>
    </row>
    <row r="48" spans="1:8" x14ac:dyDescent="0.35">
      <c r="A48" s="97" t="s">
        <v>120</v>
      </c>
      <c r="B48" s="98"/>
      <c r="C48" s="98"/>
      <c r="D48" s="98"/>
      <c r="E48" s="98"/>
      <c r="F48" s="98"/>
      <c r="G48" s="98"/>
      <c r="H48" s="99"/>
    </row>
    <row r="49" spans="1:8" x14ac:dyDescent="0.35">
      <c r="A49" s="100" t="s">
        <v>121</v>
      </c>
      <c r="B49" s="101"/>
      <c r="C49" s="102" t="s">
        <v>122</v>
      </c>
      <c r="D49" s="103"/>
      <c r="E49" s="103"/>
      <c r="F49" s="103"/>
      <c r="G49" s="103"/>
      <c r="H49" s="104"/>
    </row>
    <row r="50" spans="1:8" x14ac:dyDescent="0.35">
      <c r="A50" s="105" t="s">
        <v>123</v>
      </c>
      <c r="B50" s="106"/>
      <c r="C50" s="102"/>
      <c r="D50" s="103"/>
      <c r="E50" s="103"/>
      <c r="F50" s="103"/>
      <c r="G50" s="103"/>
      <c r="H50" s="104"/>
    </row>
    <row r="51" spans="1:8" x14ac:dyDescent="0.35">
      <c r="A51" s="97" t="s">
        <v>124</v>
      </c>
      <c r="B51" s="98"/>
      <c r="C51" s="98"/>
      <c r="D51" s="98"/>
      <c r="E51" s="98"/>
      <c r="F51" s="98"/>
      <c r="G51" s="98"/>
      <c r="H51" s="99"/>
    </row>
    <row r="52" spans="1:8" x14ac:dyDescent="0.35">
      <c r="A52" s="36" t="s">
        <v>125</v>
      </c>
      <c r="B52" s="37" t="s">
        <v>126</v>
      </c>
      <c r="C52" s="38" t="s">
        <v>127</v>
      </c>
      <c r="D52" s="38" t="s">
        <v>128</v>
      </c>
      <c r="E52" s="39" t="s">
        <v>129</v>
      </c>
      <c r="F52" s="35"/>
      <c r="G52" s="39" t="s">
        <v>130</v>
      </c>
      <c r="H52" s="40"/>
    </row>
    <row r="53" spans="1:8" x14ac:dyDescent="0.35">
      <c r="A53" s="58">
        <v>1</v>
      </c>
      <c r="B53" s="59" t="s">
        <v>147</v>
      </c>
      <c r="C53" s="60"/>
      <c r="D53" s="58"/>
      <c r="E53" s="76"/>
      <c r="F53" s="76"/>
      <c r="G53" s="77"/>
      <c r="H53" s="77"/>
    </row>
    <row r="54" spans="1:8" x14ac:dyDescent="0.35">
      <c r="A54" s="58">
        <v>2</v>
      </c>
      <c r="B54" s="59" t="s">
        <v>148</v>
      </c>
      <c r="C54" s="60"/>
      <c r="D54" s="58"/>
      <c r="E54" s="76"/>
      <c r="F54" s="76"/>
      <c r="G54" s="77"/>
      <c r="H54" s="77"/>
    </row>
    <row r="55" spans="1:8" x14ac:dyDescent="0.35">
      <c r="A55" s="58">
        <v>3</v>
      </c>
      <c r="B55" s="59" t="s">
        <v>149</v>
      </c>
      <c r="C55" s="60"/>
      <c r="D55" s="61"/>
      <c r="E55" s="76"/>
      <c r="F55" s="76"/>
      <c r="G55" s="77"/>
      <c r="H55" s="77"/>
    </row>
    <row r="56" spans="1:8" x14ac:dyDescent="0.35">
      <c r="A56" s="58">
        <v>4</v>
      </c>
      <c r="B56" s="59" t="s">
        <v>150</v>
      </c>
      <c r="C56" s="60"/>
      <c r="D56" s="61"/>
      <c r="E56" s="76"/>
      <c r="F56" s="76"/>
      <c r="G56" s="77"/>
      <c r="H56" s="77"/>
    </row>
    <row r="57" spans="1:8" x14ac:dyDescent="0.35">
      <c r="A57" s="58">
        <v>5</v>
      </c>
      <c r="B57" s="59" t="s">
        <v>151</v>
      </c>
      <c r="C57" s="60"/>
      <c r="D57" s="61"/>
      <c r="E57" s="76"/>
      <c r="F57" s="76"/>
      <c r="G57" s="77"/>
      <c r="H57" s="77"/>
    </row>
    <row r="58" spans="1:8" x14ac:dyDescent="0.35">
      <c r="A58" s="58">
        <v>6</v>
      </c>
      <c r="B58" s="59" t="s">
        <v>152</v>
      </c>
      <c r="C58" s="60"/>
      <c r="D58" s="61"/>
      <c r="E58" s="76"/>
      <c r="F58" s="76"/>
      <c r="G58" s="77"/>
      <c r="H58" s="77"/>
    </row>
    <row r="59" spans="1:8" x14ac:dyDescent="0.35">
      <c r="A59" s="58">
        <v>7</v>
      </c>
      <c r="B59" s="59" t="s">
        <v>153</v>
      </c>
      <c r="C59" s="60"/>
      <c r="D59" s="61"/>
      <c r="E59" s="76"/>
      <c r="F59" s="76"/>
      <c r="G59" s="77"/>
      <c r="H59" s="77"/>
    </row>
    <row r="60" spans="1:8" x14ac:dyDescent="0.35">
      <c r="A60" s="58">
        <v>8</v>
      </c>
      <c r="B60" s="59" t="s">
        <v>154</v>
      </c>
      <c r="C60" s="60"/>
      <c r="D60" s="61"/>
      <c r="E60" s="76"/>
      <c r="F60" s="76"/>
      <c r="G60" s="77"/>
      <c r="H60" s="77"/>
    </row>
    <row r="61" spans="1:8" x14ac:dyDescent="0.35">
      <c r="A61" s="58">
        <v>9</v>
      </c>
      <c r="B61" s="59" t="s">
        <v>155</v>
      </c>
      <c r="C61" s="60"/>
      <c r="D61" s="61"/>
      <c r="E61" s="61"/>
      <c r="F61" s="61"/>
      <c r="G61" s="59"/>
      <c r="H61" s="59"/>
    </row>
    <row r="62" spans="1:8" x14ac:dyDescent="0.35">
      <c r="A62" s="58">
        <v>10</v>
      </c>
      <c r="B62" s="59" t="s">
        <v>156</v>
      </c>
      <c r="C62" s="60"/>
      <c r="D62" s="61"/>
      <c r="E62" s="61"/>
      <c r="F62" s="61"/>
      <c r="G62" s="59"/>
      <c r="H62" s="59"/>
    </row>
    <row r="63" spans="1:8" x14ac:dyDescent="0.35">
      <c r="A63" s="41"/>
      <c r="B63" s="55"/>
      <c r="C63" s="56"/>
      <c r="D63" s="42"/>
      <c r="E63" s="42"/>
      <c r="F63" s="42"/>
      <c r="G63" s="55"/>
      <c r="H63" s="57"/>
    </row>
    <row r="64" spans="1:8" x14ac:dyDescent="0.35">
      <c r="A64" s="41"/>
      <c r="B64" s="55"/>
      <c r="C64" s="56"/>
      <c r="D64" s="42"/>
      <c r="E64" s="42"/>
      <c r="F64" s="42"/>
      <c r="G64" s="55"/>
      <c r="H64" s="57"/>
    </row>
    <row r="65" spans="1:14" x14ac:dyDescent="0.35">
      <c r="A65" s="41"/>
      <c r="B65" s="55"/>
      <c r="C65" s="56"/>
      <c r="D65" s="42"/>
      <c r="E65" s="42"/>
      <c r="F65" s="42"/>
      <c r="G65" s="55"/>
      <c r="H65" s="57"/>
    </row>
    <row r="66" spans="1:14" x14ac:dyDescent="0.35">
      <c r="A66" s="41"/>
      <c r="B66" s="55"/>
      <c r="C66" s="56"/>
      <c r="D66" s="42"/>
      <c r="E66" s="42"/>
      <c r="F66" s="42"/>
      <c r="G66" s="55"/>
      <c r="H66" s="57"/>
    </row>
    <row r="67" spans="1:14" x14ac:dyDescent="0.35">
      <c r="A67" s="41"/>
      <c r="B67" s="55"/>
      <c r="C67" s="56"/>
      <c r="D67" s="42"/>
      <c r="E67" s="42"/>
      <c r="F67" s="42"/>
      <c r="G67" s="55"/>
      <c r="H67" s="57"/>
    </row>
    <row r="68" spans="1:14" x14ac:dyDescent="0.35">
      <c r="A68" s="41"/>
      <c r="B68" s="55"/>
      <c r="C68" s="56"/>
      <c r="D68" s="42"/>
      <c r="E68" s="42"/>
      <c r="F68" s="42"/>
      <c r="G68" s="55"/>
      <c r="H68" s="57"/>
    </row>
    <row r="69" spans="1:14" x14ac:dyDescent="0.35">
      <c r="A69" s="41">
        <v>9</v>
      </c>
      <c r="D69" s="42"/>
      <c r="E69" s="42"/>
      <c r="F69" s="42"/>
      <c r="H69" s="43"/>
    </row>
    <row r="70" spans="1:14" x14ac:dyDescent="0.35">
      <c r="A70" s="78" t="s">
        <v>131</v>
      </c>
      <c r="B70" s="79"/>
      <c r="C70" s="80"/>
      <c r="D70" s="81"/>
      <c r="E70" s="82"/>
      <c r="F70" s="82"/>
      <c r="G70" s="82"/>
      <c r="H70" s="83"/>
    </row>
    <row r="71" spans="1:14" x14ac:dyDescent="0.35">
      <c r="A71" s="84"/>
      <c r="B71" s="82"/>
      <c r="C71" s="82"/>
      <c r="D71" s="82"/>
      <c r="E71" s="82"/>
      <c r="F71" s="82"/>
      <c r="G71" s="82"/>
      <c r="H71" s="83"/>
    </row>
    <row r="72" spans="1:14" x14ac:dyDescent="0.35">
      <c r="A72" s="74" t="s">
        <v>132</v>
      </c>
      <c r="B72" s="75"/>
      <c r="C72" s="75"/>
      <c r="D72" s="44"/>
      <c r="E72" s="44"/>
      <c r="F72" s="44"/>
      <c r="G72" s="44"/>
      <c r="H72" s="45"/>
    </row>
    <row r="73" spans="1:14" ht="13.5" thickBot="1" x14ac:dyDescent="0.4">
      <c r="A73" s="46"/>
      <c r="B73" s="47"/>
      <c r="C73" s="48"/>
      <c r="D73" s="69"/>
      <c r="E73" s="70"/>
      <c r="F73" s="71"/>
      <c r="G73" s="72"/>
      <c r="H73" s="73"/>
    </row>
    <row r="76" spans="1:14" ht="14.5" x14ac:dyDescent="0.35">
      <c r="A76" s="49"/>
      <c r="B76" s="32"/>
      <c r="C76" s="31"/>
      <c r="D76" s="31"/>
      <c r="E76" s="31"/>
      <c r="F76" s="31"/>
      <c r="G76" s="31"/>
      <c r="H76" s="31"/>
      <c r="I76" s="31"/>
      <c r="J76" s="31"/>
      <c r="K76" s="31"/>
      <c r="L76" s="31"/>
      <c r="M76" s="31"/>
      <c r="N76" s="31"/>
    </row>
    <row r="77" spans="1:14" ht="14.5" x14ac:dyDescent="0.35">
      <c r="A77" s="49"/>
      <c r="B77" s="32"/>
      <c r="C77" s="31"/>
      <c r="D77" s="31"/>
      <c r="E77" s="31"/>
      <c r="F77" s="31"/>
      <c r="G77" s="31"/>
      <c r="H77" s="31"/>
      <c r="I77" s="31"/>
      <c r="J77" s="31"/>
      <c r="K77" s="31"/>
      <c r="L77" s="31"/>
      <c r="M77" s="31"/>
      <c r="N77" s="31"/>
    </row>
    <row r="78" spans="1:14" ht="14.5" x14ac:dyDescent="0.35">
      <c r="A78" s="49"/>
      <c r="B78" s="32"/>
      <c r="C78" s="31"/>
      <c r="D78" s="31"/>
      <c r="E78" s="31"/>
      <c r="F78" s="31"/>
      <c r="G78" s="31"/>
      <c r="H78" s="31"/>
      <c r="I78" s="31"/>
      <c r="J78" s="31"/>
      <c r="K78" s="31"/>
      <c r="L78" s="31"/>
      <c r="M78" s="31"/>
      <c r="N78" s="31"/>
    </row>
    <row r="79" spans="1:14" ht="14.5" x14ac:dyDescent="0.35">
      <c r="A79" s="49"/>
      <c r="B79" s="32"/>
      <c r="C79" s="31"/>
      <c r="D79" s="31"/>
      <c r="E79" s="31"/>
      <c r="F79" s="31"/>
      <c r="G79" s="31"/>
      <c r="H79" s="31"/>
      <c r="I79" s="31"/>
      <c r="J79" s="31"/>
      <c r="K79" s="31"/>
      <c r="L79" s="31"/>
      <c r="M79" s="31"/>
      <c r="N79" s="31"/>
    </row>
    <row r="80" spans="1:14" ht="14.5" x14ac:dyDescent="0.35">
      <c r="A80" s="49"/>
      <c r="B80" s="32"/>
      <c r="C80" s="31"/>
      <c r="D80" s="31"/>
      <c r="E80" s="31"/>
      <c r="F80" s="31"/>
      <c r="G80" s="31"/>
      <c r="H80" s="31"/>
      <c r="I80" s="31"/>
      <c r="J80" s="31"/>
      <c r="K80" s="31"/>
      <c r="L80" s="31"/>
      <c r="M80" s="31"/>
      <c r="N80" s="31"/>
    </row>
    <row r="81" spans="1:14" ht="14.5" x14ac:dyDescent="0.35">
      <c r="A81" s="49"/>
      <c r="B81" s="32"/>
      <c r="C81" s="31"/>
      <c r="D81" s="31"/>
      <c r="E81" s="31"/>
      <c r="F81" s="31"/>
      <c r="G81" s="31"/>
      <c r="H81" s="31"/>
      <c r="I81" s="31"/>
      <c r="J81" s="31"/>
      <c r="K81" s="31"/>
      <c r="L81" s="31"/>
      <c r="M81" s="31"/>
      <c r="N81" s="31"/>
    </row>
    <row r="82" spans="1:14" ht="14.5" x14ac:dyDescent="0.35">
      <c r="A82" s="49"/>
      <c r="B82" s="32"/>
      <c r="C82" s="31"/>
      <c r="D82" s="31"/>
      <c r="E82" s="31"/>
      <c r="F82" s="31"/>
      <c r="G82" s="31"/>
      <c r="H82" s="31"/>
      <c r="I82" s="31"/>
      <c r="J82" s="31"/>
      <c r="K82" s="31"/>
      <c r="L82" s="31"/>
      <c r="M82" s="31"/>
      <c r="N82" s="31"/>
    </row>
    <row r="83" spans="1:14" ht="14.5" x14ac:dyDescent="0.35">
      <c r="A83" s="49"/>
      <c r="B83" s="32"/>
      <c r="C83" s="31"/>
      <c r="D83" s="31"/>
      <c r="E83" s="31"/>
      <c r="F83" s="31"/>
      <c r="G83" s="31"/>
      <c r="H83" s="31"/>
      <c r="I83" s="31"/>
      <c r="J83" s="31"/>
      <c r="K83" s="31"/>
      <c r="L83" s="31"/>
      <c r="M83" s="31"/>
      <c r="N83" s="31"/>
    </row>
    <row r="84" spans="1:14" ht="14.5" x14ac:dyDescent="0.35">
      <c r="A84" s="49"/>
      <c r="B84" s="32"/>
      <c r="C84" s="31"/>
      <c r="D84" s="31"/>
      <c r="E84" s="31"/>
      <c r="F84" s="31"/>
      <c r="G84" s="31"/>
      <c r="H84" s="31"/>
      <c r="I84" s="31"/>
      <c r="J84" s="31"/>
      <c r="K84" s="31"/>
      <c r="L84" s="31"/>
      <c r="M84" s="31"/>
      <c r="N84" s="31"/>
    </row>
    <row r="85" spans="1:14" ht="14.5" x14ac:dyDescent="0.35">
      <c r="A85" s="49"/>
      <c r="B85" s="32"/>
      <c r="C85" s="31"/>
      <c r="D85" s="31"/>
      <c r="E85" s="31"/>
      <c r="F85" s="31"/>
      <c r="G85" s="31"/>
      <c r="H85" s="31"/>
      <c r="I85" s="31"/>
      <c r="J85" s="31"/>
      <c r="K85" s="31"/>
      <c r="L85" s="31"/>
      <c r="M85" s="31"/>
      <c r="N85" s="31"/>
    </row>
    <row r="86" spans="1:14" ht="14.5" x14ac:dyDescent="0.35">
      <c r="A86" s="49"/>
      <c r="B86" s="32"/>
      <c r="C86" s="31"/>
      <c r="D86" s="31"/>
      <c r="E86" s="31"/>
      <c r="F86" s="31"/>
      <c r="G86" s="31"/>
      <c r="H86" s="31"/>
      <c r="I86" s="31"/>
      <c r="J86" s="31"/>
      <c r="K86" s="31"/>
      <c r="L86" s="31"/>
      <c r="M86" s="31"/>
      <c r="N86" s="31"/>
    </row>
    <row r="87" spans="1:14" ht="14.5" x14ac:dyDescent="0.35">
      <c r="A87" s="64"/>
      <c r="B87" s="50"/>
      <c r="C87" s="64"/>
      <c r="D87" s="50"/>
      <c r="E87" s="64"/>
      <c r="F87" s="64"/>
      <c r="G87" s="31"/>
      <c r="H87" s="31"/>
      <c r="I87" s="31"/>
      <c r="J87" s="31"/>
      <c r="K87" s="31"/>
      <c r="L87" s="31"/>
      <c r="M87" s="31"/>
      <c r="N87" s="31"/>
    </row>
    <row r="88" spans="1:14" ht="14.5" x14ac:dyDescent="0.35">
      <c r="A88" s="64"/>
      <c r="B88" s="50"/>
      <c r="C88" s="64"/>
      <c r="D88" s="50"/>
      <c r="E88" s="64"/>
      <c r="F88" s="64"/>
      <c r="G88" s="31"/>
      <c r="H88" s="31"/>
      <c r="I88" s="31"/>
      <c r="J88" s="31"/>
      <c r="K88" s="31"/>
      <c r="L88" s="31"/>
      <c r="M88" s="31"/>
      <c r="N88" s="31"/>
    </row>
    <row r="89" spans="1:14" ht="14.5" x14ac:dyDescent="0.35">
      <c r="A89" s="50"/>
      <c r="B89" s="50"/>
      <c r="C89" s="50"/>
      <c r="D89" s="50"/>
      <c r="E89" s="50"/>
      <c r="F89" s="50"/>
      <c r="G89" s="31"/>
      <c r="H89" s="31"/>
      <c r="I89" s="31"/>
      <c r="J89" s="31"/>
      <c r="K89" s="31"/>
      <c r="L89" s="31"/>
      <c r="M89" s="31"/>
      <c r="N89" s="31"/>
    </row>
    <row r="90" spans="1:14" ht="14.5" x14ac:dyDescent="0.35">
      <c r="A90" s="51"/>
      <c r="B90" s="51"/>
      <c r="C90" s="51"/>
      <c r="D90" s="51"/>
      <c r="E90" s="51"/>
      <c r="F90" s="51"/>
      <c r="G90" s="31"/>
      <c r="H90" s="31"/>
      <c r="I90" s="31"/>
      <c r="J90" s="31"/>
      <c r="K90" s="31"/>
      <c r="L90" s="31"/>
      <c r="M90" s="31"/>
      <c r="N90" s="31"/>
    </row>
    <row r="91" spans="1:14" ht="14.5" x14ac:dyDescent="0.35">
      <c r="A91" s="49"/>
      <c r="B91" s="32"/>
      <c r="C91" s="31"/>
      <c r="D91" s="31"/>
      <c r="E91" s="31"/>
      <c r="F91" s="31"/>
      <c r="G91" s="31"/>
      <c r="H91" s="31"/>
      <c r="I91" s="31"/>
      <c r="J91" s="31"/>
      <c r="K91" s="31"/>
      <c r="L91" s="31"/>
      <c r="M91" s="31"/>
      <c r="N91" s="31"/>
    </row>
    <row r="92" spans="1:14" ht="14.5" x14ac:dyDescent="0.35">
      <c r="A92" s="49"/>
      <c r="B92" s="32"/>
      <c r="C92" s="31"/>
      <c r="D92" s="31"/>
      <c r="E92" s="31"/>
      <c r="F92" s="31"/>
      <c r="G92" s="31"/>
      <c r="H92" s="31"/>
      <c r="I92" s="31"/>
      <c r="J92" s="31"/>
      <c r="K92" s="31"/>
      <c r="L92" s="31"/>
      <c r="M92" s="31"/>
      <c r="N92" s="31"/>
    </row>
    <row r="93" spans="1:14" ht="15" thickBot="1" x14ac:dyDescent="0.4">
      <c r="A93" s="49"/>
      <c r="B93" s="32"/>
      <c r="C93" s="31"/>
      <c r="D93" s="31"/>
      <c r="E93" s="31"/>
      <c r="F93" s="31"/>
      <c r="G93" s="31"/>
      <c r="H93" s="31"/>
      <c r="I93" s="31"/>
      <c r="J93" s="31"/>
      <c r="K93" s="31"/>
      <c r="L93" s="31"/>
      <c r="M93" s="31"/>
      <c r="N93" s="31"/>
    </row>
    <row r="94" spans="1:14" ht="116" x14ac:dyDescent="0.35">
      <c r="A94" s="64"/>
      <c r="B94" s="64"/>
      <c r="C94" s="64"/>
      <c r="D94" s="50"/>
      <c r="E94" s="50"/>
      <c r="F94" s="64"/>
      <c r="G94" s="64"/>
      <c r="H94" s="64"/>
      <c r="I94" s="64"/>
      <c r="J94" s="52" t="s">
        <v>133</v>
      </c>
      <c r="K94" s="52" t="s">
        <v>0</v>
      </c>
      <c r="L94" s="65" t="s">
        <v>134</v>
      </c>
      <c r="M94" s="66"/>
      <c r="N94" s="52" t="s">
        <v>135</v>
      </c>
    </row>
    <row r="95" spans="1:14" ht="58.5" thickBot="1" x14ac:dyDescent="0.4">
      <c r="A95" s="64"/>
      <c r="B95" s="64"/>
      <c r="C95" s="64"/>
      <c r="D95" s="50"/>
      <c r="E95" s="50"/>
      <c r="F95" s="64"/>
      <c r="G95" s="64"/>
      <c r="H95" s="64"/>
      <c r="I95" s="64"/>
      <c r="J95" s="53" t="s">
        <v>136</v>
      </c>
      <c r="K95" s="53" t="s">
        <v>136</v>
      </c>
      <c r="L95" s="67" t="s">
        <v>136</v>
      </c>
      <c r="M95" s="68"/>
      <c r="N95" s="53" t="s">
        <v>136</v>
      </c>
    </row>
    <row r="96" spans="1:14" ht="102" thickBot="1" x14ac:dyDescent="0.4">
      <c r="A96" s="50"/>
      <c r="B96" s="50"/>
      <c r="C96" s="50"/>
      <c r="D96" s="50"/>
      <c r="E96" s="51"/>
      <c r="F96" s="50"/>
      <c r="G96" s="50"/>
      <c r="H96" s="50"/>
      <c r="I96" s="50"/>
      <c r="J96" s="53"/>
      <c r="K96" s="53"/>
      <c r="L96" s="53" t="s">
        <v>137</v>
      </c>
      <c r="M96" s="53" t="s">
        <v>138</v>
      </c>
      <c r="N96" s="53"/>
    </row>
    <row r="97" spans="1:14" ht="15" thickBot="1" x14ac:dyDescent="0.4">
      <c r="A97" s="51"/>
      <c r="B97" s="51"/>
      <c r="C97" s="51"/>
      <c r="D97" s="51"/>
      <c r="E97" s="50"/>
      <c r="F97" s="51"/>
      <c r="G97" s="51"/>
      <c r="H97" s="51"/>
      <c r="I97" s="51"/>
      <c r="J97" s="54"/>
      <c r="K97" s="54"/>
      <c r="L97" s="54"/>
      <c r="M97" s="54"/>
      <c r="N97" s="54"/>
    </row>
  </sheetData>
  <mergeCells count="73">
    <mergeCell ref="A11:B11"/>
    <mergeCell ref="C11:D11"/>
    <mergeCell ref="E11:F11"/>
    <mergeCell ref="G11:H11"/>
    <mergeCell ref="A1:H4"/>
    <mergeCell ref="A5:H5"/>
    <mergeCell ref="A6:B6"/>
    <mergeCell ref="C7:F7"/>
    <mergeCell ref="A8:B8"/>
    <mergeCell ref="C8:F8"/>
    <mergeCell ref="A9:H9"/>
    <mergeCell ref="A10:B10"/>
    <mergeCell ref="C10:D10"/>
    <mergeCell ref="E10:F10"/>
    <mergeCell ref="G10:H10"/>
    <mergeCell ref="A25:H25"/>
    <mergeCell ref="A12:H12"/>
    <mergeCell ref="A13:B13"/>
    <mergeCell ref="C13:H14"/>
    <mergeCell ref="A15:H15"/>
    <mergeCell ref="A16:H16"/>
    <mergeCell ref="A19:H19"/>
    <mergeCell ref="A20:XFD20"/>
    <mergeCell ref="A21:H21"/>
    <mergeCell ref="A22:H22"/>
    <mergeCell ref="A23:H23"/>
    <mergeCell ref="A24:H24"/>
    <mergeCell ref="E53:F53"/>
    <mergeCell ref="G53:H53"/>
    <mergeCell ref="A26:H26"/>
    <mergeCell ref="A27:H27"/>
    <mergeCell ref="A30:H30"/>
    <mergeCell ref="A41:H41"/>
    <mergeCell ref="A46:H46"/>
    <mergeCell ref="A48:H48"/>
    <mergeCell ref="A49:B49"/>
    <mergeCell ref="C49:H49"/>
    <mergeCell ref="A50:B50"/>
    <mergeCell ref="C50:H50"/>
    <mergeCell ref="A51:H51"/>
    <mergeCell ref="E54:F54"/>
    <mergeCell ref="G54:H54"/>
    <mergeCell ref="E55:F55"/>
    <mergeCell ref="G55:H55"/>
    <mergeCell ref="E56:F56"/>
    <mergeCell ref="G56:H56"/>
    <mergeCell ref="A72:C72"/>
    <mergeCell ref="E57:F57"/>
    <mergeCell ref="G57:H57"/>
    <mergeCell ref="E58:F58"/>
    <mergeCell ref="G58:H58"/>
    <mergeCell ref="E59:F59"/>
    <mergeCell ref="G59:H59"/>
    <mergeCell ref="E60:F60"/>
    <mergeCell ref="G60:H60"/>
    <mergeCell ref="A70:C70"/>
    <mergeCell ref="D70:H70"/>
    <mergeCell ref="A71:H71"/>
    <mergeCell ref="D73:E73"/>
    <mergeCell ref="F73:H73"/>
    <mergeCell ref="A87:A88"/>
    <mergeCell ref="C87:C88"/>
    <mergeCell ref="E87:E88"/>
    <mergeCell ref="F87:F88"/>
    <mergeCell ref="I94:I95"/>
    <mergeCell ref="L94:M94"/>
    <mergeCell ref="L95:M95"/>
    <mergeCell ref="A94:A95"/>
    <mergeCell ref="B94:B95"/>
    <mergeCell ref="C94:C95"/>
    <mergeCell ref="F94:F95"/>
    <mergeCell ref="G94:G95"/>
    <mergeCell ref="H94:H95"/>
  </mergeCells>
  <dataValidations disablePrompts="1" count="5">
    <dataValidation type="list" allowBlank="1" showInputMessage="1" showErrorMessage="1" sqref="E53:F69" xr:uid="{707F97F0-9D68-49B7-A004-FA7B3B8963FF}">
      <formula1>"Single Value, Range Of Values"</formula1>
    </dataValidation>
    <dataValidation type="list" allowBlank="1" showInputMessage="1" showErrorMessage="1" sqref="C8:F8" xr:uid="{C0AE619D-D12A-4BB1-B3D4-573E5B304316}">
      <formula1>"Report, Interface, BDC, Dialog, Enhancement, BADI, SAPScript, Smart Form, FM, Lable Printing,  Message Class"</formula1>
    </dataValidation>
    <dataValidation type="list" allowBlank="1" showInputMessage="1" showErrorMessage="1" sqref="H8" xr:uid="{417A34C0-2E30-4938-9EA5-BF29E59FA950}">
      <formula1>"FI, CO, MM, SD, PP, PM, QM, HR"</formula1>
    </dataValidation>
    <dataValidation type="list" allowBlank="1" showInputMessage="1" showErrorMessage="1" sqref="C50" xr:uid="{53025308-6165-4F79-BEFB-A5E32EA753E0}">
      <formula1>"Screen, Printer, Local File, Screen and Printer, Screen and Local File"</formula1>
    </dataValidation>
    <dataValidation type="list" allowBlank="1" showInputMessage="1" showErrorMessage="1" sqref="C49" xr:uid="{040ED9AF-5807-4F5F-BEAB-1EC0148CC2E9}">
      <formula1>"Foreground, Background, Foreground and Background"</formula1>
    </dataValidation>
  </dataValidations>
  <hyperlinks>
    <hyperlink ref="A33" location="'Detailed FS'!A1" display="Detailed FS" xr:uid="{112BD468-B0EE-489C-B3A6-7A3353A93793}"/>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1505-ABA7-4C22-B7FD-EDBF69F4F7E1}">
  <dimension ref="A1:P129"/>
  <sheetViews>
    <sheetView tabSelected="1" topLeftCell="A21" workbookViewId="0">
      <selection activeCell="A55" sqref="A55"/>
    </sheetView>
  </sheetViews>
  <sheetFormatPr defaultRowHeight="14.5" x14ac:dyDescent="0.35"/>
  <cols>
    <col min="1" max="1" width="17.36328125" bestFit="1" customWidth="1"/>
    <col min="2" max="2" width="101.54296875" style="6" customWidth="1"/>
    <col min="3" max="3" width="12.7265625" bestFit="1" customWidth="1"/>
    <col min="4" max="4" width="33.1796875" bestFit="1" customWidth="1"/>
    <col min="7" max="7" width="14.6328125" bestFit="1" customWidth="1"/>
    <col min="8" max="8" width="11.7265625" bestFit="1" customWidth="1"/>
    <col min="9" max="9" width="12.90625" bestFit="1" customWidth="1"/>
  </cols>
  <sheetData>
    <row r="1" spans="1:16" hidden="1" x14ac:dyDescent="0.35">
      <c r="A1">
        <v>157</v>
      </c>
    </row>
    <row r="2" spans="1:16" hidden="1" x14ac:dyDescent="0.35"/>
    <row r="3" spans="1:16" hidden="1" x14ac:dyDescent="0.35">
      <c r="A3" t="s">
        <v>0</v>
      </c>
      <c r="B3" s="6" t="s">
        <v>30</v>
      </c>
      <c r="C3" t="s">
        <v>2</v>
      </c>
      <c r="D3" t="s">
        <v>9</v>
      </c>
      <c r="I3">
        <v>1.3140000000000001</v>
      </c>
      <c r="K3">
        <v>0.104</v>
      </c>
      <c r="L3">
        <v>1E-3</v>
      </c>
    </row>
    <row r="4" spans="1:16" hidden="1" x14ac:dyDescent="0.35">
      <c r="A4" t="s">
        <v>31</v>
      </c>
      <c r="B4" s="6" t="s">
        <v>32</v>
      </c>
      <c r="C4">
        <v>10</v>
      </c>
      <c r="D4">
        <v>1000</v>
      </c>
      <c r="K4">
        <f>K3+L3</f>
        <v>0.105</v>
      </c>
      <c r="N4">
        <v>9.6000000000000002E-2</v>
      </c>
    </row>
    <row r="5" spans="1:16" hidden="1" x14ac:dyDescent="0.35">
      <c r="A5" t="s">
        <v>31</v>
      </c>
      <c r="B5" s="6" t="s">
        <v>32</v>
      </c>
      <c r="C5">
        <v>20</v>
      </c>
      <c r="D5">
        <v>1000</v>
      </c>
      <c r="K5">
        <f>I3-K4</f>
        <v>1.2090000000000001</v>
      </c>
      <c r="N5">
        <v>8.0000000000000002E-3</v>
      </c>
    </row>
    <row r="6" spans="1:16" hidden="1" x14ac:dyDescent="0.35">
      <c r="A6" t="s">
        <v>31</v>
      </c>
      <c r="B6" s="6" t="s">
        <v>32</v>
      </c>
      <c r="C6">
        <v>30</v>
      </c>
      <c r="D6">
        <v>1000</v>
      </c>
    </row>
    <row r="7" spans="1:16" hidden="1" x14ac:dyDescent="0.35">
      <c r="D7">
        <v>3000</v>
      </c>
    </row>
    <row r="8" spans="1:16" hidden="1" x14ac:dyDescent="0.35"/>
    <row r="9" spans="1:16" hidden="1" x14ac:dyDescent="0.35">
      <c r="A9" t="s">
        <v>31</v>
      </c>
      <c r="D9" t="s">
        <v>33</v>
      </c>
    </row>
    <row r="10" spans="1:16" hidden="1" x14ac:dyDescent="0.35"/>
    <row r="11" spans="1:16" hidden="1" x14ac:dyDescent="0.35">
      <c r="A11" s="1" t="s">
        <v>0</v>
      </c>
      <c r="B11" s="2" t="s">
        <v>1</v>
      </c>
      <c r="C11" s="1" t="s">
        <v>2</v>
      </c>
      <c r="D11" s="1" t="s">
        <v>3</v>
      </c>
      <c r="E11" s="1" t="s">
        <v>4</v>
      </c>
      <c r="F11" s="1" t="s">
        <v>5</v>
      </c>
      <c r="G11" s="1" t="s">
        <v>6</v>
      </c>
      <c r="H11" s="1" t="s">
        <v>7</v>
      </c>
      <c r="I11" s="1" t="s">
        <v>8</v>
      </c>
      <c r="J11" s="1" t="s">
        <v>9</v>
      </c>
      <c r="K11" s="1" t="s">
        <v>10</v>
      </c>
      <c r="L11" s="1" t="s">
        <v>5</v>
      </c>
      <c r="M11" s="1" t="s">
        <v>11</v>
      </c>
      <c r="N11" s="1" t="s">
        <v>12</v>
      </c>
      <c r="O11" s="1" t="s">
        <v>13</v>
      </c>
      <c r="P11" s="1" t="s">
        <v>14</v>
      </c>
    </row>
    <row r="12" spans="1:16" hidden="1" x14ac:dyDescent="0.35">
      <c r="A12" s="3"/>
      <c r="B12" s="4"/>
      <c r="C12" s="3"/>
      <c r="D12" s="3"/>
      <c r="E12" s="3"/>
      <c r="F12" s="3"/>
      <c r="G12" s="3"/>
      <c r="H12" s="3"/>
      <c r="I12" s="3"/>
      <c r="J12" s="3"/>
      <c r="K12" s="3"/>
      <c r="L12" s="3"/>
      <c r="M12" s="3"/>
      <c r="N12" s="3"/>
      <c r="O12" s="3"/>
      <c r="P12" s="3"/>
    </row>
    <row r="14" spans="1:16" x14ac:dyDescent="0.35">
      <c r="A14" t="s">
        <v>22</v>
      </c>
    </row>
    <row r="15" spans="1:16" x14ac:dyDescent="0.35">
      <c r="A15" t="s">
        <v>4</v>
      </c>
      <c r="B15" s="6" t="s">
        <v>158</v>
      </c>
    </row>
    <row r="16" spans="1:16" x14ac:dyDescent="0.35">
      <c r="A16" t="s">
        <v>34</v>
      </c>
      <c r="C16" t="s">
        <v>35</v>
      </c>
    </row>
    <row r="17" spans="1:12" x14ac:dyDescent="0.35">
      <c r="A17" t="s">
        <v>24</v>
      </c>
      <c r="L17">
        <f>7*0.049</f>
        <v>0.34300000000000003</v>
      </c>
    </row>
    <row r="18" spans="1:12" x14ac:dyDescent="0.35">
      <c r="L18">
        <f>L17/1000</f>
        <v>3.4300000000000004E-4</v>
      </c>
    </row>
    <row r="20" spans="1:12" x14ac:dyDescent="0.35">
      <c r="A20" t="s">
        <v>4</v>
      </c>
      <c r="B20" s="6" t="s">
        <v>36</v>
      </c>
    </row>
    <row r="21" spans="1:12" ht="29" x14ac:dyDescent="0.35">
      <c r="A21" t="s">
        <v>0</v>
      </c>
      <c r="B21" s="6" t="s">
        <v>37</v>
      </c>
    </row>
    <row r="22" spans="1:12" x14ac:dyDescent="0.35">
      <c r="A22" t="s">
        <v>1</v>
      </c>
      <c r="B22" s="6" t="s">
        <v>38</v>
      </c>
    </row>
    <row r="23" spans="1:12" x14ac:dyDescent="0.35">
      <c r="A23" t="s">
        <v>2</v>
      </c>
      <c r="B23" s="6" t="s">
        <v>39</v>
      </c>
    </row>
    <row r="24" spans="1:12" ht="43.5" x14ac:dyDescent="0.35">
      <c r="A24" t="s">
        <v>3</v>
      </c>
      <c r="B24" s="6" t="s">
        <v>40</v>
      </c>
    </row>
    <row r="25" spans="1:12" x14ac:dyDescent="0.35">
      <c r="A25" t="s">
        <v>41</v>
      </c>
    </row>
    <row r="27" spans="1:12" ht="43.5" x14ac:dyDescent="0.35">
      <c r="A27" s="5" t="s">
        <v>42</v>
      </c>
      <c r="B27" s="6" t="s">
        <v>43</v>
      </c>
    </row>
    <row r="29" spans="1:12" x14ac:dyDescent="0.35">
      <c r="B29" s="6" t="s">
        <v>44</v>
      </c>
    </row>
    <row r="31" spans="1:12" x14ac:dyDescent="0.35">
      <c r="B31" s="6" t="s">
        <v>45</v>
      </c>
    </row>
    <row r="33" spans="1:2" x14ac:dyDescent="0.35">
      <c r="B33" s="6" t="s">
        <v>46</v>
      </c>
    </row>
    <row r="34" spans="1:2" x14ac:dyDescent="0.35">
      <c r="A34" s="5"/>
    </row>
    <row r="35" spans="1:2" ht="43.5" x14ac:dyDescent="0.35">
      <c r="A35" s="5" t="s">
        <v>47</v>
      </c>
      <c r="B35" s="6" t="s">
        <v>48</v>
      </c>
    </row>
    <row r="37" spans="1:2" ht="58" x14ac:dyDescent="0.35">
      <c r="A37" s="5" t="s">
        <v>49</v>
      </c>
      <c r="B37" s="6" t="s">
        <v>50</v>
      </c>
    </row>
    <row r="39" spans="1:2" x14ac:dyDescent="0.35">
      <c r="A39" s="5"/>
      <c r="B39" s="6" t="s">
        <v>44</v>
      </c>
    </row>
    <row r="41" spans="1:2" x14ac:dyDescent="0.35">
      <c r="B41" s="6" t="s">
        <v>45</v>
      </c>
    </row>
    <row r="43" spans="1:2" x14ac:dyDescent="0.35">
      <c r="B43" s="6" t="s">
        <v>51</v>
      </c>
    </row>
    <row r="45" spans="1:2" x14ac:dyDescent="0.35">
      <c r="A45" t="s">
        <v>52</v>
      </c>
    </row>
    <row r="46" spans="1:2" ht="43.5" x14ac:dyDescent="0.35">
      <c r="A46" s="5" t="s">
        <v>42</v>
      </c>
      <c r="B46" s="6" t="s">
        <v>53</v>
      </c>
    </row>
    <row r="48" spans="1:2" x14ac:dyDescent="0.35">
      <c r="B48" s="6" t="s">
        <v>44</v>
      </c>
    </row>
    <row r="50" spans="1:15" x14ac:dyDescent="0.35">
      <c r="B50" s="6" t="s">
        <v>45</v>
      </c>
    </row>
    <row r="52" spans="1:15" x14ac:dyDescent="0.35">
      <c r="B52" s="6" t="s">
        <v>46</v>
      </c>
    </row>
    <row r="53" spans="1:15" x14ac:dyDescent="0.35">
      <c r="A53" s="5"/>
    </row>
    <row r="54" spans="1:15" ht="43.5" x14ac:dyDescent="0.35">
      <c r="A54" s="5" t="s">
        <v>47</v>
      </c>
      <c r="B54" s="6" t="s">
        <v>48</v>
      </c>
    </row>
    <row r="56" spans="1:15" ht="58" x14ac:dyDescent="0.35">
      <c r="A56" s="5" t="s">
        <v>49</v>
      </c>
      <c r="B56" s="6" t="s">
        <v>54</v>
      </c>
    </row>
    <row r="58" spans="1:15" x14ac:dyDescent="0.35">
      <c r="A58" s="5"/>
      <c r="B58" s="6" t="s">
        <v>44</v>
      </c>
      <c r="G58" t="s">
        <v>55</v>
      </c>
      <c r="H58">
        <v>100</v>
      </c>
      <c r="I58" t="s">
        <v>56</v>
      </c>
      <c r="K58">
        <v>10000</v>
      </c>
      <c r="L58" t="s">
        <v>57</v>
      </c>
      <c r="N58">
        <v>2000</v>
      </c>
      <c r="O58" t="s">
        <v>57</v>
      </c>
    </row>
    <row r="60" spans="1:15" x14ac:dyDescent="0.35">
      <c r="B60" s="6" t="s">
        <v>45</v>
      </c>
      <c r="K60">
        <v>8000</v>
      </c>
      <c r="L60" t="s">
        <v>57</v>
      </c>
    </row>
    <row r="62" spans="1:15" x14ac:dyDescent="0.35">
      <c r="B62" s="6" t="s">
        <v>51</v>
      </c>
      <c r="K62">
        <v>4000</v>
      </c>
      <c r="L62" t="s">
        <v>57</v>
      </c>
    </row>
    <row r="63" spans="1:15" x14ac:dyDescent="0.35">
      <c r="J63" t="s">
        <v>58</v>
      </c>
      <c r="K63">
        <f>K60-K62</f>
        <v>4000</v>
      </c>
    </row>
    <row r="64" spans="1:15" x14ac:dyDescent="0.35">
      <c r="A64" t="s">
        <v>59</v>
      </c>
      <c r="B64" s="6" t="s">
        <v>60</v>
      </c>
    </row>
    <row r="66" spans="1:10" ht="246.5" x14ac:dyDescent="0.35">
      <c r="A66" t="s">
        <v>6</v>
      </c>
      <c r="B66" s="6" t="s">
        <v>61</v>
      </c>
      <c r="D66" t="s">
        <v>62</v>
      </c>
      <c r="E66" t="s">
        <v>63</v>
      </c>
      <c r="J66" t="s">
        <v>64</v>
      </c>
    </row>
    <row r="67" spans="1:10" ht="261" x14ac:dyDescent="0.35">
      <c r="A67" t="s">
        <v>7</v>
      </c>
      <c r="B67" s="6" t="s">
        <v>65</v>
      </c>
      <c r="D67" t="s">
        <v>66</v>
      </c>
      <c r="E67" t="s">
        <v>67</v>
      </c>
      <c r="F67" t="s">
        <v>68</v>
      </c>
    </row>
    <row r="68" spans="1:10" x14ac:dyDescent="0.35">
      <c r="A68" t="s">
        <v>8</v>
      </c>
      <c r="B68" s="6" t="s">
        <v>69</v>
      </c>
      <c r="D68" t="s">
        <v>70</v>
      </c>
      <c r="E68" t="s">
        <v>67</v>
      </c>
      <c r="F68" t="s">
        <v>71</v>
      </c>
    </row>
    <row r="69" spans="1:10" x14ac:dyDescent="0.35">
      <c r="A69" t="s">
        <v>9</v>
      </c>
      <c r="B69" s="6" t="s">
        <v>72</v>
      </c>
      <c r="D69" t="s">
        <v>73</v>
      </c>
    </row>
    <row r="71" spans="1:10" x14ac:dyDescent="0.35">
      <c r="A71" s="5" t="s">
        <v>0</v>
      </c>
      <c r="B71" s="6" t="s">
        <v>74</v>
      </c>
    </row>
    <row r="72" spans="1:10" x14ac:dyDescent="0.35">
      <c r="A72" s="5" t="s">
        <v>4</v>
      </c>
      <c r="B72" s="6" t="s">
        <v>75</v>
      </c>
    </row>
    <row r="73" spans="1:10" ht="72.5" x14ac:dyDescent="0.35">
      <c r="A73" s="5" t="s">
        <v>76</v>
      </c>
      <c r="B73" s="6" t="s">
        <v>77</v>
      </c>
    </row>
    <row r="74" spans="1:10" x14ac:dyDescent="0.35">
      <c r="A74" s="5" t="s">
        <v>78</v>
      </c>
      <c r="B74" s="7" t="s">
        <v>79</v>
      </c>
    </row>
    <row r="75" spans="1:10" x14ac:dyDescent="0.35">
      <c r="A75" s="5" t="s">
        <v>80</v>
      </c>
      <c r="B75" s="6" t="s">
        <v>81</v>
      </c>
    </row>
    <row r="76" spans="1:10" x14ac:dyDescent="0.35">
      <c r="A76" s="5" t="s">
        <v>82</v>
      </c>
      <c r="B76" s="6" t="s">
        <v>83</v>
      </c>
    </row>
    <row r="77" spans="1:10" x14ac:dyDescent="0.35">
      <c r="A77" s="5" t="s">
        <v>84</v>
      </c>
      <c r="B77" s="6" t="s">
        <v>85</v>
      </c>
    </row>
    <row r="78" spans="1:10" x14ac:dyDescent="0.35">
      <c r="A78" s="5" t="s">
        <v>86</v>
      </c>
      <c r="B78" s="7" t="s">
        <v>79</v>
      </c>
    </row>
    <row r="81" spans="1:3" x14ac:dyDescent="0.35">
      <c r="A81" t="s">
        <v>10</v>
      </c>
      <c r="B81" s="6" t="s">
        <v>87</v>
      </c>
    </row>
    <row r="82" spans="1:3" x14ac:dyDescent="0.35">
      <c r="A82" t="s">
        <v>5</v>
      </c>
      <c r="B82" s="6" t="s">
        <v>88</v>
      </c>
    </row>
    <row r="83" spans="1:3" x14ac:dyDescent="0.35">
      <c r="A83" s="5" t="s">
        <v>41</v>
      </c>
    </row>
    <row r="84" spans="1:3" ht="43.5" x14ac:dyDescent="0.35">
      <c r="A84" s="5" t="s">
        <v>42</v>
      </c>
      <c r="B84" s="6" t="s">
        <v>43</v>
      </c>
      <c r="C84" t="s">
        <v>89</v>
      </c>
    </row>
    <row r="86" spans="1:3" x14ac:dyDescent="0.35">
      <c r="B86" s="6" t="s">
        <v>44</v>
      </c>
    </row>
    <row r="88" spans="1:3" x14ac:dyDescent="0.35">
      <c r="B88" s="6" t="s">
        <v>45</v>
      </c>
    </row>
    <row r="90" spans="1:3" x14ac:dyDescent="0.35">
      <c r="B90" s="6" t="s">
        <v>46</v>
      </c>
    </row>
    <row r="91" spans="1:3" x14ac:dyDescent="0.35">
      <c r="A91" s="5"/>
    </row>
    <row r="92" spans="1:3" ht="43.5" x14ac:dyDescent="0.35">
      <c r="A92" s="5" t="s">
        <v>47</v>
      </c>
      <c r="B92" s="6" t="s">
        <v>48</v>
      </c>
    </row>
    <row r="94" spans="1:3" ht="58" x14ac:dyDescent="0.35">
      <c r="A94" s="5" t="s">
        <v>49</v>
      </c>
      <c r="B94" s="6" t="s">
        <v>50</v>
      </c>
    </row>
    <row r="96" spans="1:3" x14ac:dyDescent="0.35">
      <c r="A96" s="5"/>
      <c r="B96" s="6" t="s">
        <v>44</v>
      </c>
    </row>
    <row r="98" spans="1:2" x14ac:dyDescent="0.35">
      <c r="B98" s="6" t="s">
        <v>45</v>
      </c>
    </row>
    <row r="100" spans="1:2" x14ac:dyDescent="0.35">
      <c r="B100" s="6" t="s">
        <v>51</v>
      </c>
    </row>
    <row r="102" spans="1:2" x14ac:dyDescent="0.35">
      <c r="A102" s="5" t="s">
        <v>52</v>
      </c>
    </row>
    <row r="103" spans="1:2" ht="43.5" x14ac:dyDescent="0.35">
      <c r="A103" s="5" t="s">
        <v>42</v>
      </c>
      <c r="B103" s="6" t="s">
        <v>53</v>
      </c>
    </row>
    <row r="105" spans="1:2" x14ac:dyDescent="0.35">
      <c r="B105" s="6" t="s">
        <v>44</v>
      </c>
    </row>
    <row r="107" spans="1:2" x14ac:dyDescent="0.35">
      <c r="B107" s="6" t="s">
        <v>45</v>
      </c>
    </row>
    <row r="109" spans="1:2" x14ac:dyDescent="0.35">
      <c r="B109" s="6" t="s">
        <v>46</v>
      </c>
    </row>
    <row r="110" spans="1:2" x14ac:dyDescent="0.35">
      <c r="A110" s="5"/>
    </row>
    <row r="111" spans="1:2" ht="43.5" x14ac:dyDescent="0.35">
      <c r="A111" s="5" t="s">
        <v>47</v>
      </c>
      <c r="B111" s="6" t="s">
        <v>48</v>
      </c>
    </row>
    <row r="113" spans="1:2" ht="58" x14ac:dyDescent="0.35">
      <c r="A113" s="5" t="s">
        <v>49</v>
      </c>
      <c r="B113" s="6" t="s">
        <v>54</v>
      </c>
    </row>
    <row r="115" spans="1:2" x14ac:dyDescent="0.35">
      <c r="A115" s="5"/>
      <c r="B115" s="6" t="s">
        <v>44</v>
      </c>
    </row>
    <row r="117" spans="1:2" x14ac:dyDescent="0.35">
      <c r="B117" s="6" t="s">
        <v>45</v>
      </c>
    </row>
    <row r="119" spans="1:2" x14ac:dyDescent="0.35">
      <c r="B119" s="6" t="s">
        <v>51</v>
      </c>
    </row>
    <row r="121" spans="1:2" x14ac:dyDescent="0.35">
      <c r="A121" t="s">
        <v>59</v>
      </c>
      <c r="B121" s="6" t="s">
        <v>60</v>
      </c>
    </row>
    <row r="123" spans="1:2" x14ac:dyDescent="0.35">
      <c r="A123" t="s">
        <v>11</v>
      </c>
      <c r="B123" s="6" t="s">
        <v>90</v>
      </c>
    </row>
    <row r="125" spans="1:2" ht="29" x14ac:dyDescent="0.35">
      <c r="A125" t="s">
        <v>12</v>
      </c>
      <c r="B125" s="6" t="s">
        <v>91</v>
      </c>
    </row>
    <row r="126" spans="1:2" ht="29" x14ac:dyDescent="0.35">
      <c r="A126" t="s">
        <v>13</v>
      </c>
      <c r="B126" s="6" t="s">
        <v>92</v>
      </c>
    </row>
    <row r="127" spans="1:2" x14ac:dyDescent="0.35">
      <c r="A127" t="s">
        <v>93</v>
      </c>
      <c r="B127" s="6" t="s">
        <v>94</v>
      </c>
    </row>
    <row r="128" spans="1:2" ht="58" x14ac:dyDescent="0.35">
      <c r="A128" t="s">
        <v>164</v>
      </c>
      <c r="B128" s="6" t="s">
        <v>165</v>
      </c>
    </row>
    <row r="129" spans="1:2" ht="43.5" x14ac:dyDescent="0.35">
      <c r="A129" t="s">
        <v>161</v>
      </c>
      <c r="B129" s="6" t="s">
        <v>166</v>
      </c>
    </row>
  </sheetData>
  <pageMargins left="0.7" right="0.7" top="0.75" bottom="0.75" header="0.3" footer="0.3"/>
</worksheet>
</file>

<file path=docMetadata/LabelInfo.xml><?xml version="1.0" encoding="utf-8"?>
<clbl:labelList xmlns:clbl="http://schemas.microsoft.com/office/2020/mipLabelMetadata">
  <clbl:label id="{3129b2cc-4393-4691-814d-95eb8359c06c}"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BRD</vt:lpstr>
      <vt:lpstr>FS</vt:lpstr>
      <vt:lpstr>Detailed FS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Panwala, Dipesh</dc:creator>
  <cp:lastModifiedBy>Nisha Lohar</cp:lastModifiedBy>
  <dcterms:created xsi:type="dcterms:W3CDTF">2026-07-08T05:05:50Z</dcterms:created>
  <dcterms:modified xsi:type="dcterms:W3CDTF">2026-07-13T06:05:00Z</dcterms:modified>
</cp:coreProperties>
</file>